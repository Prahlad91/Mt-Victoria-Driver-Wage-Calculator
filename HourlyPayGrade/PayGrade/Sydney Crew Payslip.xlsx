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3"/>
  <workbookPr showInkAnnotation="0" autoCompressPictures="0"/>
  <xr:revisionPtr revIDLastSave="0" documentId="11_9B5B56E60234A6B4ED800EDB417030B3426849C7" xr6:coauthVersionLast="47" xr6:coauthVersionMax="47" xr10:uidLastSave="{00000000-0000-0000-0000-000000000000}"/>
  <bookViews>
    <workbookView xWindow="0" yWindow="0" windowWidth="28760" windowHeight="17460" tabRatio="500" xr2:uid="{00000000-000D-0000-FFFF-FFFF00000000}"/>
  </bookViews>
  <sheets>
    <sheet name="Crew Payslip1" sheetId="3" r:id="rId1"/>
  </sheets>
  <externalReferences>
    <externalReference r:id="rId2"/>
  </externalReferences>
  <definedNames>
    <definedName name="name" localSheetId="0">[1]Sheet1!$A$2:$A$4</definedName>
    <definedName name="type" localSheetId="0">[1]Sheet1!$A$3:$A$4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8" i="3" l="1"/>
  <c r="S7" i="3"/>
  <c r="Q6" i="3"/>
  <c r="E6" i="3"/>
  <c r="N6" i="3"/>
  <c r="H6" i="3"/>
  <c r="S6" i="3"/>
  <c r="Q5" i="3"/>
  <c r="E5" i="3"/>
  <c r="N5" i="3"/>
  <c r="H5" i="3"/>
  <c r="S5" i="3"/>
  <c r="S4" i="3"/>
  <c r="Q14" i="3"/>
  <c r="E14" i="3"/>
  <c r="N14" i="3"/>
  <c r="H14" i="3"/>
  <c r="S14" i="3"/>
  <c r="Q13" i="3"/>
  <c r="E13" i="3"/>
  <c r="N13" i="3"/>
  <c r="H13" i="3"/>
  <c r="S13" i="3"/>
  <c r="Q12" i="3"/>
  <c r="E12" i="3"/>
  <c r="N12" i="3"/>
  <c r="H12" i="3"/>
  <c r="S12" i="3"/>
  <c r="Q11" i="3"/>
  <c r="E11" i="3"/>
  <c r="N11" i="3"/>
  <c r="H11" i="3"/>
  <c r="S11" i="3"/>
  <c r="Q15" i="3"/>
  <c r="E15" i="3"/>
  <c r="N15" i="3"/>
  <c r="H15" i="3"/>
  <c r="S15" i="3"/>
  <c r="T15" i="3"/>
  <c r="R15" i="3"/>
  <c r="T14" i="3"/>
  <c r="R14" i="3"/>
  <c r="T13" i="3"/>
  <c r="R13" i="3"/>
  <c r="T12" i="3"/>
  <c r="R12" i="3"/>
  <c r="T11" i="3"/>
  <c r="R11" i="3"/>
  <c r="Q8" i="3"/>
  <c r="E8" i="3"/>
  <c r="N8" i="3"/>
  <c r="H8" i="3"/>
  <c r="T8" i="3"/>
  <c r="R8" i="3"/>
  <c r="T7" i="3"/>
  <c r="E7" i="3"/>
  <c r="R7" i="3"/>
  <c r="T6" i="3"/>
  <c r="R6" i="3"/>
  <c r="T5" i="3"/>
  <c r="R5" i="3"/>
  <c r="Q4" i="3"/>
  <c r="E4" i="3"/>
  <c r="N4" i="3"/>
  <c r="H4" i="3"/>
  <c r="T4" i="3"/>
  <c r="R4" i="3"/>
  <c r="F45" i="3"/>
  <c r="E46" i="3"/>
  <c r="F46" i="3"/>
  <c r="E16" i="3"/>
  <c r="Q16" i="3"/>
  <c r="N16" i="3"/>
  <c r="E10" i="3"/>
  <c r="Q10" i="3"/>
  <c r="N10" i="3"/>
  <c r="E9" i="3"/>
  <c r="Q9" i="3"/>
  <c r="N9" i="3"/>
  <c r="Q7" i="3"/>
  <c r="N7" i="3"/>
  <c r="E3" i="3"/>
  <c r="Q3" i="3"/>
  <c r="N3" i="3"/>
  <c r="W12" i="3"/>
  <c r="W3" i="3"/>
  <c r="W4" i="3"/>
  <c r="W5" i="3"/>
  <c r="W6" i="3"/>
  <c r="W7" i="3"/>
  <c r="W8" i="3"/>
  <c r="W9" i="3"/>
  <c r="W10" i="3"/>
  <c r="W11" i="3"/>
  <c r="W13" i="3"/>
  <c r="W14" i="3"/>
  <c r="W15" i="3"/>
  <c r="W16" i="3"/>
  <c r="W17" i="3"/>
  <c r="E47" i="3"/>
  <c r="F47" i="3"/>
  <c r="V16" i="3"/>
  <c r="V10" i="3"/>
  <c r="V9" i="3"/>
  <c r="V3" i="3"/>
  <c r="V15" i="3"/>
  <c r="V14" i="3"/>
  <c r="V13" i="3"/>
  <c r="V12" i="3"/>
  <c r="V11" i="3"/>
  <c r="V8" i="3"/>
  <c r="V7" i="3"/>
  <c r="V6" i="3"/>
  <c r="V5" i="3"/>
  <c r="V4" i="3"/>
  <c r="H7" i="3"/>
  <c r="H9" i="3"/>
  <c r="H10" i="3"/>
  <c r="H16" i="3"/>
  <c r="H3" i="3"/>
  <c r="H17" i="3"/>
  <c r="F31" i="3"/>
  <c r="M6" i="3"/>
  <c r="P6" i="3"/>
  <c r="L6" i="3"/>
  <c r="O6" i="3"/>
  <c r="M7" i="3"/>
  <c r="P7" i="3"/>
  <c r="L7" i="3"/>
  <c r="O7" i="3"/>
  <c r="M8" i="3"/>
  <c r="P8" i="3"/>
  <c r="L8" i="3"/>
  <c r="O8" i="3"/>
  <c r="M11" i="3"/>
  <c r="P11" i="3"/>
  <c r="L11" i="3"/>
  <c r="O11" i="3"/>
  <c r="M12" i="3"/>
  <c r="P12" i="3"/>
  <c r="L12" i="3"/>
  <c r="O12" i="3"/>
  <c r="M13" i="3"/>
  <c r="P13" i="3"/>
  <c r="L13" i="3"/>
  <c r="O13" i="3"/>
  <c r="M14" i="3"/>
  <c r="P14" i="3"/>
  <c r="L14" i="3"/>
  <c r="O14" i="3"/>
  <c r="M15" i="3"/>
  <c r="P15" i="3"/>
  <c r="L15" i="3"/>
  <c r="O15" i="3"/>
  <c r="E39" i="3"/>
  <c r="M5" i="3"/>
  <c r="P5" i="3"/>
  <c r="L5" i="3"/>
  <c r="O5" i="3"/>
  <c r="P4" i="3"/>
  <c r="M4" i="3"/>
  <c r="L4" i="3"/>
  <c r="O4" i="3"/>
  <c r="F39" i="3"/>
  <c r="E40" i="3"/>
  <c r="P3" i="3"/>
  <c r="M3" i="3"/>
  <c r="L3" i="3"/>
  <c r="O3" i="3"/>
  <c r="F40" i="3"/>
  <c r="M9" i="3"/>
  <c r="P9" i="3"/>
  <c r="L9" i="3"/>
  <c r="M16" i="3"/>
  <c r="P16" i="3"/>
  <c r="L16" i="3"/>
  <c r="E41" i="3"/>
  <c r="F41" i="3"/>
  <c r="M10" i="3"/>
  <c r="P10" i="3"/>
  <c r="L10" i="3"/>
  <c r="E42" i="3"/>
  <c r="F42" i="3"/>
  <c r="E43" i="3"/>
  <c r="F43" i="3"/>
  <c r="E44" i="3"/>
  <c r="F44" i="3"/>
  <c r="U6" i="3"/>
  <c r="U7" i="3"/>
  <c r="U8" i="3"/>
  <c r="U11" i="3"/>
  <c r="U12" i="3"/>
  <c r="U13" i="3"/>
  <c r="U14" i="3"/>
  <c r="U15" i="3"/>
  <c r="U5" i="3"/>
  <c r="U4" i="3"/>
  <c r="G51" i="3"/>
  <c r="F51" i="3"/>
  <c r="R17" i="3"/>
  <c r="F52" i="3"/>
  <c r="S17" i="3"/>
  <c r="F53" i="3"/>
  <c r="T17" i="3"/>
  <c r="F54" i="3"/>
  <c r="E21" i="3"/>
  <c r="E22" i="3"/>
  <c r="E20" i="3"/>
  <c r="E23" i="3"/>
  <c r="E24" i="3"/>
  <c r="E25" i="3"/>
  <c r="E26" i="3"/>
  <c r="E35" i="3"/>
  <c r="F35" i="3"/>
  <c r="I21" i="3"/>
  <c r="I22" i="3"/>
  <c r="I20" i="3"/>
  <c r="I23" i="3"/>
  <c r="I24" i="3"/>
  <c r="I25" i="3"/>
  <c r="I26" i="3"/>
  <c r="E36" i="3"/>
  <c r="H20" i="3"/>
  <c r="H21" i="3"/>
  <c r="H22" i="3"/>
  <c r="H23" i="3"/>
  <c r="H24" i="3"/>
  <c r="H25" i="3"/>
  <c r="H26" i="3"/>
  <c r="F36" i="3"/>
  <c r="E37" i="3"/>
  <c r="F37" i="3"/>
  <c r="E32" i="3"/>
  <c r="J17" i="3"/>
  <c r="F32" i="3"/>
  <c r="E33" i="3"/>
  <c r="K17" i="3"/>
  <c r="F33" i="3"/>
  <c r="F34" i="3"/>
  <c r="F55" i="3"/>
  <c r="O17" i="3"/>
  <c r="O16" i="3"/>
  <c r="O10" i="3"/>
  <c r="O9" i="3"/>
  <c r="L17" i="3"/>
  <c r="M17" i="3"/>
  <c r="N17" i="3"/>
  <c r="E48" i="3"/>
  <c r="U17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F1" i="3"/>
  <c r="G53" i="3"/>
  <c r="G54" i="3"/>
  <c r="G52" i="3"/>
  <c r="Q17" i="3"/>
  <c r="P17" i="3"/>
  <c r="E17" i="3"/>
</calcChain>
</file>

<file path=xl/sharedStrings.xml><?xml version="1.0" encoding="utf-8"?>
<sst xmlns="http://schemas.openxmlformats.org/spreadsheetml/2006/main" count="88" uniqueCount="70">
  <si>
    <t>Ordinary Hours</t>
  </si>
  <si>
    <t>1435&amp;1442</t>
  </si>
  <si>
    <t>Date</t>
  </si>
  <si>
    <t>Day</t>
  </si>
  <si>
    <t>Overtime Hours</t>
  </si>
  <si>
    <t>Thu</t>
  </si>
  <si>
    <t>Fri</t>
  </si>
  <si>
    <t>Sat</t>
  </si>
  <si>
    <t>Sun</t>
  </si>
  <si>
    <t>Mon</t>
  </si>
  <si>
    <t>Tue</t>
  </si>
  <si>
    <t>Wed</t>
  </si>
  <si>
    <t>Actual Start Time</t>
  </si>
  <si>
    <t xml:space="preserve">Actual End Time </t>
  </si>
  <si>
    <t>Ordinary hours</t>
  </si>
  <si>
    <t>Layback</t>
  </si>
  <si>
    <t>OVERTIME</t>
  </si>
  <si>
    <t>Rostered End time</t>
  </si>
  <si>
    <t>Rostered Start time</t>
  </si>
  <si>
    <t>Rostered Hours</t>
  </si>
  <si>
    <t>Layback/Liftup</t>
  </si>
  <si>
    <t>Actual Hours</t>
  </si>
  <si>
    <t>PAY CALCULATOR</t>
  </si>
  <si>
    <t>Saturday (200%)</t>
  </si>
  <si>
    <t>Actual hours worked</t>
  </si>
  <si>
    <t>Sunday (200%)</t>
  </si>
  <si>
    <t>Saturday Loading (50%)</t>
  </si>
  <si>
    <t>Sunday Loading (100%)</t>
  </si>
  <si>
    <t>ADO (4 Hours)</t>
  </si>
  <si>
    <t>Night</t>
  </si>
  <si>
    <t>Morning</t>
  </si>
  <si>
    <t>Afternoon</t>
  </si>
  <si>
    <t>*For buildup, enter only rostered times, not actual shift</t>
  </si>
  <si>
    <t>CODE</t>
  </si>
  <si>
    <t>DESCRIPTION</t>
  </si>
  <si>
    <t>RATE</t>
  </si>
  <si>
    <t>PAY</t>
  </si>
  <si>
    <t>SHIFT ALLOWANCES</t>
  </si>
  <si>
    <t>Night (1800 hours - 0359 hours)</t>
  </si>
  <si>
    <t>Morning (0400 hours to 0530 hours)</t>
  </si>
  <si>
    <t>Afternoon (1001 hours - 1801 hours)</t>
  </si>
  <si>
    <t>Start</t>
  </si>
  <si>
    <t>End</t>
  </si>
  <si>
    <t>Special Loading</t>
  </si>
  <si>
    <t>TOTAL PAY</t>
  </si>
  <si>
    <t>Midnight</t>
  </si>
  <si>
    <t>PAY PERIOD</t>
  </si>
  <si>
    <t>*payslip</t>
  </si>
  <si>
    <t>Sick Leave</t>
  </si>
  <si>
    <t>Annual Leave</t>
  </si>
  <si>
    <t>Public Holiday</t>
  </si>
  <si>
    <t>Annual Leave Loading</t>
  </si>
  <si>
    <t>DAYS</t>
  </si>
  <si>
    <t>Sp. Loading(0101 hours - 0359 hours)</t>
  </si>
  <si>
    <t>Electric Guards Allowance</t>
  </si>
  <si>
    <t>Mileage</t>
  </si>
  <si>
    <t>PUBLIC HOLIDAY</t>
  </si>
  <si>
    <t>Public Holiday worked</t>
  </si>
  <si>
    <t>Public Holiday Loading</t>
  </si>
  <si>
    <t>Guarantee</t>
  </si>
  <si>
    <t>WOBOD</t>
  </si>
  <si>
    <t>Public Holiday Paid</t>
  </si>
  <si>
    <t>Scheduled OT (200%)</t>
  </si>
  <si>
    <t>Scheduled OT Weekdays (150%)</t>
  </si>
  <si>
    <t>Total OT</t>
  </si>
  <si>
    <t>TOTAL</t>
  </si>
  <si>
    <t>8 Hour Mark</t>
  </si>
  <si>
    <t>Mileage Time</t>
  </si>
  <si>
    <t>209 Km</t>
  </si>
  <si>
    <t>*For Security Allowance, Guarantee , WOBOD and ADO make manual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</si>
</sst>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/mm/yy;@"/>
    <numFmt numFmtId="167" formatCode="[$-F400]h:mm:ss\ AM/PM"/>
    <numFmt numFmtId="168" formatCode="h:mm:ss;@"/>
    <numFmt numFmtId="169" formatCode="_-[$$-C09]* #,##0.00_-;\-[$$-C09]* #,##0.00_-;_-[$$-C09]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i/>
      <sz val="16"/>
      <name val="Arial"/>
    </font>
    <font>
      <b/>
      <sz val="11"/>
      <name val="Arial"/>
    </font>
    <font>
      <b/>
      <sz val="12"/>
      <name val="Arial"/>
    </font>
    <font>
      <b/>
      <sz val="14"/>
      <name val="Arial"/>
    </font>
    <font>
      <b/>
      <sz val="16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50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3" borderId="2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8">
    <xf numFmtId="0" fontId="0" fillId="0" borderId="0" xfId="0"/>
    <xf numFmtId="0" fontId="5" fillId="0" borderId="1" xfId="8" applyFont="1" applyFill="1" applyBorder="1" applyAlignment="1" applyProtection="1">
      <alignment horizontal="center" vertical="center" wrapText="1"/>
    </xf>
    <xf numFmtId="14" fontId="5" fillId="4" borderId="7" xfId="8" applyNumberFormat="1" applyFont="1" applyFill="1" applyBorder="1" applyAlignment="1" applyProtection="1">
      <alignment horizontal="center" vertical="center" wrapText="1"/>
    </xf>
    <xf numFmtId="43" fontId="5" fillId="0" borderId="7" xfId="9" applyNumberFormat="1" applyFont="1" applyFill="1" applyBorder="1" applyAlignment="1" applyProtection="1">
      <alignment horizontal="center" vertical="center" wrapText="1"/>
    </xf>
    <xf numFmtId="43" fontId="5" fillId="5" borderId="7" xfId="9" applyNumberFormat="1" applyFont="1" applyFill="1" applyBorder="1" applyAlignment="1" applyProtection="1">
      <alignment horizontal="center" vertical="center" wrapText="1"/>
    </xf>
    <xf numFmtId="43" fontId="5" fillId="5" borderId="6" xfId="9" applyNumberFormat="1" applyFont="1" applyFill="1" applyBorder="1" applyAlignment="1" applyProtection="1">
      <alignment horizontal="center" vertical="center" wrapText="1"/>
    </xf>
    <xf numFmtId="43" fontId="5" fillId="6" borderId="7" xfId="9" applyNumberFormat="1" applyFont="1" applyFill="1" applyBorder="1" applyAlignment="1" applyProtection="1">
      <alignment horizontal="center" vertical="center" wrapText="1"/>
    </xf>
    <xf numFmtId="43" fontId="5" fillId="6" borderId="6" xfId="9" applyNumberFormat="1" applyFont="1" applyFill="1" applyBorder="1" applyAlignment="1" applyProtection="1">
      <alignment horizontal="center" vertical="center" wrapText="1"/>
    </xf>
    <xf numFmtId="43" fontId="5" fillId="0" borderId="1" xfId="8" applyNumberFormat="1" applyFont="1" applyFill="1" applyBorder="1" applyAlignment="1" applyProtection="1">
      <alignment horizontal="center" vertical="center" wrapText="1"/>
    </xf>
    <xf numFmtId="20" fontId="5" fillId="0" borderId="6" xfId="9" applyNumberFormat="1" applyFont="1" applyFill="1" applyBorder="1" applyAlignment="1" applyProtection="1">
      <alignment horizontal="center" vertical="center" wrapText="1"/>
      <protection locked="0"/>
    </xf>
    <xf numFmtId="14" fontId="5" fillId="6" borderId="7" xfId="8" applyNumberFormat="1" applyFont="1" applyFill="1" applyBorder="1" applyAlignment="1" applyProtection="1">
      <alignment horizontal="center" vertical="center" wrapText="1"/>
    </xf>
    <xf numFmtId="20" fontId="5" fillId="6" borderId="6" xfId="9" applyNumberFormat="1" applyFont="1" applyFill="1" applyBorder="1" applyAlignment="1" applyProtection="1">
      <alignment horizontal="center" vertical="center" wrapText="1"/>
      <protection locked="0"/>
    </xf>
    <xf numFmtId="14" fontId="5" fillId="5" borderId="7" xfId="8" applyNumberFormat="1" applyFont="1" applyFill="1" applyBorder="1" applyAlignment="1" applyProtection="1">
      <alignment horizontal="center" vertical="center" wrapText="1"/>
    </xf>
    <xf numFmtId="20" fontId="5" fillId="5" borderId="6" xfId="9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8" applyFont="1" applyAlignment="1">
      <alignment horizontal="center" vertical="center" wrapText="1"/>
    </xf>
    <xf numFmtId="165" fontId="5" fillId="6" borderId="6" xfId="5" applyFont="1" applyFill="1" applyBorder="1" applyAlignment="1" applyProtection="1">
      <alignment horizontal="center" vertical="center" wrapText="1"/>
    </xf>
    <xf numFmtId="165" fontId="5" fillId="0" borderId="7" xfId="5" applyFont="1" applyFill="1" applyBorder="1" applyAlignment="1" applyProtection="1">
      <alignment horizontal="center" vertical="center" wrapText="1"/>
    </xf>
    <xf numFmtId="165" fontId="5" fillId="5" borderId="6" xfId="5" applyFont="1" applyFill="1" applyBorder="1" applyAlignment="1" applyProtection="1">
      <alignment horizontal="center" vertical="center" wrapText="1"/>
    </xf>
    <xf numFmtId="14" fontId="5" fillId="5" borderId="8" xfId="8" applyNumberFormat="1" applyFont="1" applyFill="1" applyBorder="1" applyAlignment="1" applyProtection="1">
      <alignment horizontal="center" vertical="center" wrapText="1"/>
    </xf>
    <xf numFmtId="20" fontId="5" fillId="5" borderId="9" xfId="9" applyNumberFormat="1" applyFont="1" applyFill="1" applyBorder="1" applyAlignment="1" applyProtection="1">
      <alignment horizontal="center" vertical="center" wrapText="1"/>
      <protection locked="0"/>
    </xf>
    <xf numFmtId="165" fontId="5" fillId="0" borderId="4" xfId="8" applyNumberFormat="1" applyFont="1" applyFill="1" applyBorder="1" applyAlignment="1" applyProtection="1">
      <alignment horizontal="center" vertical="center" wrapText="1"/>
    </xf>
    <xf numFmtId="43" fontId="5" fillId="5" borderId="9" xfId="9" applyNumberFormat="1" applyFont="1" applyFill="1" applyBorder="1" applyAlignment="1" applyProtection="1">
      <alignment horizontal="center" vertical="center" wrapText="1"/>
    </xf>
    <xf numFmtId="0" fontId="5" fillId="5" borderId="9" xfId="5" applyNumberFormat="1" applyFont="1" applyFill="1" applyBorder="1" applyAlignment="1" applyProtection="1">
      <alignment horizontal="center" vertical="center" wrapText="1"/>
    </xf>
    <xf numFmtId="43" fontId="5" fillId="5" borderId="8" xfId="9" applyNumberFormat="1" applyFont="1" applyFill="1" applyBorder="1" applyAlignment="1" applyProtection="1">
      <alignment horizontal="center" vertical="center" wrapText="1"/>
    </xf>
    <xf numFmtId="43" fontId="5" fillId="0" borderId="5" xfId="8" applyNumberFormat="1" applyFont="1" applyFill="1" applyBorder="1" applyAlignment="1" applyProtection="1">
      <alignment horizontal="center" vertical="center" wrapText="1"/>
    </xf>
    <xf numFmtId="0" fontId="5" fillId="0" borderId="1" xfId="8" applyFont="1" applyFill="1" applyBorder="1" applyAlignment="1" applyProtection="1">
      <alignment vertical="center" wrapText="1"/>
    </xf>
    <xf numFmtId="165" fontId="5" fillId="0" borderId="1" xfId="8" applyNumberFormat="1" applyFont="1" applyFill="1" applyBorder="1" applyAlignment="1" applyProtection="1">
      <alignment horizontal="center" vertical="center" wrapText="1"/>
    </xf>
    <xf numFmtId="0" fontId="5" fillId="0" borderId="0" xfId="8" applyFont="1" applyAlignment="1">
      <alignment vertical="center" wrapText="1"/>
    </xf>
    <xf numFmtId="0" fontId="5" fillId="0" borderId="14" xfId="8" applyFont="1" applyFill="1" applyBorder="1" applyAlignment="1" applyProtection="1">
      <alignment horizontal="center" vertical="center" wrapText="1"/>
    </xf>
    <xf numFmtId="166" fontId="5" fillId="6" borderId="6" xfId="8" applyNumberFormat="1" applyFont="1" applyFill="1" applyBorder="1" applyAlignment="1" applyProtection="1">
      <alignment horizontal="center" vertical="center" wrapText="1"/>
    </xf>
    <xf numFmtId="166" fontId="5" fillId="4" borderId="6" xfId="8" applyNumberFormat="1" applyFont="1" applyFill="1" applyBorder="1" applyAlignment="1" applyProtection="1">
      <alignment horizontal="center" vertical="center" wrapText="1"/>
    </xf>
    <xf numFmtId="166" fontId="5" fillId="5" borderId="6" xfId="8" applyNumberFormat="1" applyFont="1" applyFill="1" applyBorder="1" applyAlignment="1" applyProtection="1">
      <alignment horizontal="center" vertical="center" wrapText="1"/>
    </xf>
    <xf numFmtId="2" fontId="5" fillId="0" borderId="6" xfId="9" applyNumberFormat="1" applyFont="1" applyFill="1" applyBorder="1" applyAlignment="1" applyProtection="1">
      <alignment horizontal="center" vertical="center" wrapText="1"/>
    </xf>
    <xf numFmtId="0" fontId="4" fillId="0" borderId="0" xfId="8" applyFont="1" applyAlignment="1">
      <alignment horizontal="center" vertical="center" wrapText="1"/>
    </xf>
    <xf numFmtId="0" fontId="4" fillId="0" borderId="0" xfId="8" applyFont="1" applyFill="1" applyAlignment="1">
      <alignment horizontal="center" vertical="center" wrapText="1"/>
    </xf>
    <xf numFmtId="0" fontId="5" fillId="0" borderId="0" xfId="8" applyFont="1" applyFill="1" applyBorder="1" applyAlignment="1" applyProtection="1">
      <alignment horizontal="center" vertical="center" wrapText="1"/>
    </xf>
    <xf numFmtId="169" fontId="7" fillId="0" borderId="17" xfId="5" applyNumberFormat="1" applyFont="1" applyBorder="1" applyAlignment="1">
      <alignment horizontal="center" vertical="center" wrapText="1"/>
    </xf>
    <xf numFmtId="169" fontId="7" fillId="0" borderId="21" xfId="5" applyNumberFormat="1" applyFont="1" applyBorder="1" applyAlignment="1">
      <alignment horizontal="center" vertical="center" wrapText="1"/>
    </xf>
    <xf numFmtId="169" fontId="7" fillId="0" borderId="22" xfId="5" applyNumberFormat="1" applyFont="1" applyBorder="1" applyAlignment="1">
      <alignment horizontal="center" vertical="center" wrapText="1"/>
    </xf>
    <xf numFmtId="0" fontId="7" fillId="0" borderId="23" xfId="8" applyNumberFormat="1" applyFont="1" applyBorder="1" applyAlignment="1" applyProtection="1">
      <alignment horizontal="center" vertical="center" wrapText="1"/>
    </xf>
    <xf numFmtId="0" fontId="7" fillId="0" borderId="24" xfId="8" applyNumberFormat="1" applyFont="1" applyBorder="1" applyAlignment="1" applyProtection="1">
      <alignment horizontal="center" vertical="center" wrapText="1"/>
    </xf>
    <xf numFmtId="0" fontId="7" fillId="0" borderId="25" xfId="8" applyNumberFormat="1" applyFont="1" applyBorder="1" applyAlignment="1">
      <alignment horizontal="center" vertical="center" wrapText="1"/>
    </xf>
    <xf numFmtId="169" fontId="7" fillId="0" borderId="26" xfId="5" applyNumberFormat="1" applyFont="1" applyBorder="1" applyAlignment="1" applyProtection="1">
      <alignment horizontal="center" vertical="center" wrapText="1"/>
    </xf>
    <xf numFmtId="0" fontId="7" fillId="0" borderId="27" xfId="8" applyNumberFormat="1" applyFont="1" applyBorder="1" applyAlignment="1">
      <alignment horizontal="center" vertical="center" wrapText="1"/>
    </xf>
    <xf numFmtId="169" fontId="7" fillId="0" borderId="28" xfId="5" applyNumberFormat="1" applyFont="1" applyBorder="1" applyAlignment="1" applyProtection="1">
      <alignment horizontal="center" vertical="center" wrapText="1"/>
    </xf>
    <xf numFmtId="0" fontId="7" fillId="0" borderId="29" xfId="8" applyNumberFormat="1" applyFont="1" applyBorder="1" applyAlignment="1">
      <alignment horizontal="center" vertical="center" wrapText="1"/>
    </xf>
    <xf numFmtId="169" fontId="7" fillId="0" borderId="30" xfId="5" applyNumberFormat="1" applyFont="1" applyBorder="1" applyAlignment="1" applyProtection="1">
      <alignment horizontal="center" vertical="center" wrapText="1"/>
    </xf>
    <xf numFmtId="169" fontId="7" fillId="0" borderId="33" xfId="5" applyNumberFormat="1" applyFont="1" applyBorder="1" applyAlignment="1" applyProtection="1">
      <alignment horizontal="center" vertical="center" wrapText="1"/>
    </xf>
    <xf numFmtId="165" fontId="5" fillId="0" borderId="3" xfId="8" applyNumberFormat="1" applyFont="1" applyFill="1" applyBorder="1" applyAlignment="1" applyProtection="1">
      <alignment horizontal="center" vertical="center" wrapText="1"/>
    </xf>
    <xf numFmtId="20" fontId="5" fillId="9" borderId="6" xfId="9" applyNumberFormat="1" applyFont="1" applyFill="1" applyBorder="1" applyAlignment="1" applyProtection="1">
      <alignment horizontal="center" vertical="center" wrapText="1"/>
      <protection locked="0"/>
    </xf>
    <xf numFmtId="43" fontId="5" fillId="9" borderId="7" xfId="9" applyNumberFormat="1" applyFont="1" applyFill="1" applyBorder="1" applyAlignment="1" applyProtection="1">
      <alignment horizontal="center" vertical="center" wrapText="1"/>
    </xf>
    <xf numFmtId="167" fontId="7" fillId="8" borderId="36" xfId="8" applyNumberFormat="1" applyFont="1" applyFill="1" applyBorder="1" applyAlignment="1">
      <alignment horizontal="center" vertical="center" wrapText="1"/>
    </xf>
    <xf numFmtId="0" fontId="7" fillId="8" borderId="39" xfId="8" applyFont="1" applyFill="1" applyBorder="1" applyAlignment="1">
      <alignment horizontal="center" vertical="center" wrapText="1"/>
    </xf>
    <xf numFmtId="0" fontId="7" fillId="8" borderId="40" xfId="8" applyFont="1" applyFill="1" applyBorder="1" applyAlignment="1">
      <alignment horizontal="center" vertical="center" wrapText="1"/>
    </xf>
    <xf numFmtId="0" fontId="5" fillId="0" borderId="12" xfId="8" applyFont="1" applyFill="1" applyBorder="1" applyAlignment="1" applyProtection="1">
      <alignment horizontal="center" vertical="center" wrapText="1"/>
    </xf>
    <xf numFmtId="43" fontId="5" fillId="9" borderId="41" xfId="9" applyNumberFormat="1" applyFont="1" applyFill="1" applyBorder="1" applyAlignment="1" applyProtection="1">
      <alignment horizontal="center" vertical="center" wrapText="1"/>
    </xf>
    <xf numFmtId="43" fontId="5" fillId="0" borderId="41" xfId="9" applyNumberFormat="1" applyFont="1" applyFill="1" applyBorder="1" applyAlignment="1" applyProtection="1">
      <alignment horizontal="center" vertical="center" wrapText="1"/>
    </xf>
    <xf numFmtId="43" fontId="5" fillId="9" borderId="0" xfId="9" applyNumberFormat="1" applyFont="1" applyFill="1" applyBorder="1" applyAlignment="1" applyProtection="1">
      <alignment horizontal="center" vertical="center" wrapText="1"/>
    </xf>
    <xf numFmtId="43" fontId="5" fillId="0" borderId="0" xfId="9" applyNumberFormat="1" applyFont="1" applyFill="1" applyBorder="1" applyAlignment="1" applyProtection="1">
      <alignment horizontal="center" vertical="center" wrapText="1"/>
    </xf>
    <xf numFmtId="165" fontId="5" fillId="0" borderId="0" xfId="5" applyFont="1" applyFill="1" applyBorder="1" applyAlignment="1" applyProtection="1">
      <alignment horizontal="center" vertical="center" wrapText="1"/>
    </xf>
    <xf numFmtId="165" fontId="5" fillId="0" borderId="0" xfId="8" applyNumberFormat="1" applyFont="1" applyFill="1" applyBorder="1" applyAlignment="1" applyProtection="1">
      <alignment horizontal="center" vertical="center" wrapText="1"/>
    </xf>
    <xf numFmtId="43" fontId="5" fillId="0" borderId="34" xfId="9" applyNumberFormat="1" applyFont="1" applyFill="1" applyBorder="1" applyAlignment="1" applyProtection="1">
      <alignment horizontal="center" vertical="center" wrapText="1"/>
    </xf>
    <xf numFmtId="20" fontId="5" fillId="0" borderId="9" xfId="9" applyNumberFormat="1" applyFont="1" applyFill="1" applyBorder="1" applyAlignment="1" applyProtection="1">
      <alignment horizontal="center" vertical="center" wrapText="1"/>
      <protection locked="0"/>
    </xf>
    <xf numFmtId="165" fontId="5" fillId="0" borderId="42" xfId="8" applyNumberFormat="1" applyFont="1" applyFill="1" applyBorder="1" applyAlignment="1" applyProtection="1">
      <alignment horizontal="center" vertical="center" wrapText="1"/>
    </xf>
    <xf numFmtId="20" fontId="5" fillId="0" borderId="42" xfId="9" applyNumberFormat="1" applyFont="1" applyFill="1" applyBorder="1" applyAlignment="1" applyProtection="1">
      <alignment horizontal="center" vertical="center" wrapText="1"/>
      <protection locked="0"/>
    </xf>
    <xf numFmtId="166" fontId="5" fillId="9" borderId="6" xfId="8" applyNumberFormat="1" applyFont="1" applyFill="1" applyBorder="1" applyAlignment="1" applyProtection="1">
      <alignment horizontal="center" vertical="center" wrapText="1"/>
      <protection locked="0"/>
    </xf>
    <xf numFmtId="14" fontId="5" fillId="9" borderId="7" xfId="8" applyNumberFormat="1" applyFont="1" applyFill="1" applyBorder="1" applyAlignment="1" applyProtection="1">
      <alignment horizontal="center" vertical="center" wrapText="1"/>
      <protection locked="0"/>
    </xf>
    <xf numFmtId="166" fontId="5" fillId="4" borderId="6" xfId="8" applyNumberFormat="1" applyFont="1" applyFill="1" applyBorder="1" applyAlignment="1" applyProtection="1">
      <alignment horizontal="center" vertical="center" wrapText="1"/>
      <protection locked="0"/>
    </xf>
    <xf numFmtId="14" fontId="5" fillId="4" borderId="7" xfId="8" applyNumberFormat="1" applyFont="1" applyFill="1" applyBorder="1" applyAlignment="1" applyProtection="1">
      <alignment horizontal="center" vertical="center" wrapText="1"/>
      <protection locked="0"/>
    </xf>
    <xf numFmtId="166" fontId="5" fillId="4" borderId="9" xfId="8" applyNumberFormat="1" applyFont="1" applyFill="1" applyBorder="1" applyAlignment="1" applyProtection="1">
      <alignment horizontal="center" vertical="center" wrapText="1"/>
      <protection locked="0"/>
    </xf>
    <xf numFmtId="14" fontId="5" fillId="4" borderId="8" xfId="8" applyNumberFormat="1" applyFont="1" applyFill="1" applyBorder="1" applyAlignment="1" applyProtection="1">
      <alignment horizontal="center" vertical="center" wrapText="1"/>
      <protection locked="0"/>
    </xf>
    <xf numFmtId="167" fontId="5" fillId="0" borderId="14" xfId="8" applyNumberFormat="1" applyFont="1" applyFill="1" applyBorder="1" applyAlignment="1" applyProtection="1">
      <alignment horizontal="center" vertical="center" wrapText="1"/>
    </xf>
    <xf numFmtId="165" fontId="4" fillId="0" borderId="0" xfId="5" applyFont="1" applyFill="1" applyAlignment="1">
      <alignment horizontal="center" vertical="center" wrapText="1"/>
    </xf>
    <xf numFmtId="169" fontId="4" fillId="0" borderId="0" xfId="8" applyNumberFormat="1" applyFont="1" applyAlignment="1">
      <alignment horizontal="center" vertical="center" wrapText="1"/>
    </xf>
    <xf numFmtId="20" fontId="5" fillId="0" borderId="6" xfId="9" applyNumberFormat="1" applyFont="1" applyFill="1" applyBorder="1" applyAlignment="1" applyProtection="1">
      <alignment horizontal="center" vertical="center" wrapText="1"/>
    </xf>
    <xf numFmtId="20" fontId="5" fillId="5" borderId="6" xfId="9" applyNumberFormat="1" applyFont="1" applyFill="1" applyBorder="1" applyAlignment="1" applyProtection="1">
      <alignment horizontal="center" vertical="center" wrapText="1"/>
    </xf>
    <xf numFmtId="20" fontId="5" fillId="6" borderId="6" xfId="9" applyNumberFormat="1" applyFont="1" applyFill="1" applyBorder="1" applyAlignment="1" applyProtection="1">
      <alignment horizontal="center" vertical="center" wrapText="1"/>
    </xf>
    <xf numFmtId="43" fontId="5" fillId="6" borderId="6" xfId="9" applyNumberFormat="1" applyFont="1" applyFill="1" applyBorder="1" applyAlignment="1" applyProtection="1">
      <alignment horizontal="center" vertical="center" wrapText="1"/>
      <protection locked="0"/>
    </xf>
    <xf numFmtId="43" fontId="5" fillId="0" borderId="7" xfId="9" applyNumberFormat="1" applyFont="1" applyFill="1" applyBorder="1" applyAlignment="1" applyProtection="1">
      <alignment horizontal="center" vertical="center" wrapText="1"/>
      <protection locked="0"/>
    </xf>
    <xf numFmtId="43" fontId="5" fillId="5" borderId="6" xfId="9" applyNumberFormat="1" applyFont="1" applyFill="1" applyBorder="1" applyAlignment="1" applyProtection="1">
      <alignment horizontal="center" vertical="center" wrapText="1"/>
      <protection locked="0"/>
    </xf>
    <xf numFmtId="43" fontId="5" fillId="5" borderId="9" xfId="9" applyNumberFormat="1" applyFont="1" applyFill="1" applyBorder="1" applyAlignment="1" applyProtection="1">
      <alignment horizontal="center" vertical="center" wrapText="1"/>
      <protection locked="0"/>
    </xf>
    <xf numFmtId="167" fontId="8" fillId="10" borderId="13" xfId="8" applyNumberFormat="1" applyFont="1" applyFill="1" applyBorder="1" applyAlignment="1">
      <alignment horizontal="center" vertical="center"/>
    </xf>
    <xf numFmtId="14" fontId="9" fillId="0" borderId="4" xfId="8" applyNumberFormat="1" applyFont="1" applyFill="1" applyBorder="1" applyAlignment="1" applyProtection="1">
      <alignment horizontal="center" vertical="center" wrapText="1"/>
    </xf>
    <xf numFmtId="14" fontId="9" fillId="0" borderId="4" xfId="8" applyNumberFormat="1" applyFont="1" applyFill="1" applyBorder="1" applyAlignment="1" applyProtection="1">
      <alignment vertical="center" wrapText="1"/>
    </xf>
    <xf numFmtId="0" fontId="4" fillId="0" borderId="4" xfId="8" applyFont="1" applyBorder="1" applyAlignment="1">
      <alignment horizontal="center" vertical="center" wrapText="1"/>
    </xf>
    <xf numFmtId="14" fontId="9" fillId="0" borderId="13" xfId="8" applyNumberFormat="1" applyFont="1" applyFill="1" applyBorder="1" applyAlignment="1" applyProtection="1">
      <alignment vertical="center" wrapText="1"/>
    </xf>
    <xf numFmtId="0" fontId="4" fillId="0" borderId="0" xfId="8" applyFont="1" applyBorder="1" applyAlignment="1">
      <alignment horizontal="center" vertical="center" wrapText="1"/>
    </xf>
    <xf numFmtId="0" fontId="4" fillId="9" borderId="0" xfId="8" applyFont="1" applyFill="1" applyBorder="1" applyAlignment="1">
      <alignment horizontal="center" vertical="center" wrapText="1"/>
    </xf>
    <xf numFmtId="0" fontId="4" fillId="9" borderId="0" xfId="8" applyFont="1" applyFill="1" applyAlignment="1">
      <alignment horizontal="center" vertical="center" wrapText="1"/>
    </xf>
    <xf numFmtId="165" fontId="4" fillId="0" borderId="0" xfId="8" applyNumberFormat="1" applyFont="1" applyAlignment="1">
      <alignment horizontal="center" vertical="center" wrapText="1"/>
    </xf>
    <xf numFmtId="20" fontId="4" fillId="0" borderId="0" xfId="8" applyNumberFormat="1" applyFont="1" applyAlignment="1">
      <alignment horizontal="center" vertical="center" wrapText="1"/>
    </xf>
    <xf numFmtId="164" fontId="4" fillId="0" borderId="0" xfId="8" applyNumberFormat="1" applyFont="1" applyAlignment="1">
      <alignment horizontal="center" vertical="center" wrapText="1"/>
    </xf>
    <xf numFmtId="167" fontId="4" fillId="0" borderId="0" xfId="8" applyNumberFormat="1" applyFont="1" applyFill="1" applyAlignment="1">
      <alignment horizontal="center" vertical="center" wrapText="1"/>
    </xf>
    <xf numFmtId="169" fontId="7" fillId="0" borderId="28" xfId="5" applyNumberFormat="1" applyFont="1" applyBorder="1" applyAlignment="1" applyProtection="1">
      <alignment horizontal="center" vertical="center" wrapText="1"/>
      <protection locked="0"/>
    </xf>
    <xf numFmtId="169" fontId="7" fillId="0" borderId="30" xfId="5" applyNumberFormat="1" applyFont="1" applyBorder="1" applyAlignment="1" applyProtection="1">
      <alignment horizontal="center" vertical="center" wrapText="1"/>
      <protection locked="0"/>
    </xf>
    <xf numFmtId="20" fontId="5" fillId="0" borderId="0" xfId="9" applyNumberFormat="1" applyFont="1" applyFill="1" applyBorder="1" applyAlignment="1" applyProtection="1">
      <alignment horizontal="center" vertical="center" wrapText="1"/>
    </xf>
    <xf numFmtId="168" fontId="5" fillId="0" borderId="0" xfId="9" applyNumberFormat="1" applyFont="1" applyFill="1" applyBorder="1" applyAlignment="1" applyProtection="1">
      <alignment horizontal="center" vertical="center" wrapText="1"/>
    </xf>
    <xf numFmtId="167" fontId="4" fillId="0" borderId="0" xfId="8" applyNumberFormat="1" applyFont="1" applyFill="1" applyAlignment="1" applyProtection="1">
      <alignment horizontal="center" vertical="center" wrapText="1"/>
    </xf>
    <xf numFmtId="0" fontId="4" fillId="0" borderId="0" xfId="8" applyFont="1" applyFill="1" applyAlignment="1">
      <alignment vertical="center" wrapText="1"/>
    </xf>
    <xf numFmtId="169" fontId="4" fillId="0" borderId="0" xfId="0" applyNumberFormat="1" applyFont="1" applyFill="1" applyAlignment="1">
      <alignment horizontal="center"/>
    </xf>
    <xf numFmtId="167" fontId="4" fillId="0" borderId="0" xfId="8" applyNumberFormat="1" applyFont="1" applyAlignment="1">
      <alignment horizontal="center" vertical="center" wrapText="1"/>
    </xf>
    <xf numFmtId="167" fontId="7" fillId="0" borderId="22" xfId="8" applyNumberFormat="1" applyFont="1" applyBorder="1" applyAlignment="1">
      <alignment horizontal="center" vertical="center"/>
    </xf>
    <xf numFmtId="167" fontId="7" fillId="0" borderId="17" xfId="8" applyNumberFormat="1" applyFont="1" applyBorder="1" applyAlignment="1">
      <alignment horizontal="center" vertical="center"/>
    </xf>
    <xf numFmtId="0" fontId="5" fillId="0" borderId="31" xfId="8" applyFont="1" applyFill="1" applyBorder="1" applyAlignment="1">
      <alignment horizontal="center" vertical="center" wrapText="1"/>
    </xf>
    <xf numFmtId="0" fontId="5" fillId="0" borderId="32" xfId="8" applyFont="1" applyFill="1" applyBorder="1" applyAlignment="1">
      <alignment horizontal="center" vertical="center" wrapText="1"/>
    </xf>
    <xf numFmtId="167" fontId="7" fillId="0" borderId="21" xfId="8" applyNumberFormat="1" applyFont="1" applyBorder="1" applyAlignment="1">
      <alignment horizontal="center" vertical="center"/>
    </xf>
    <xf numFmtId="167" fontId="8" fillId="10" borderId="12" xfId="8" applyNumberFormat="1" applyFont="1" applyFill="1" applyBorder="1" applyAlignment="1">
      <alignment horizontal="center" vertical="center"/>
    </xf>
    <xf numFmtId="167" fontId="8" fillId="10" borderId="4" xfId="8" applyNumberFormat="1" applyFont="1" applyFill="1" applyBorder="1" applyAlignment="1">
      <alignment horizontal="center" vertical="center"/>
    </xf>
    <xf numFmtId="167" fontId="8" fillId="10" borderId="13" xfId="8" applyNumberFormat="1" applyFont="1" applyFill="1" applyBorder="1" applyAlignment="1">
      <alignment horizontal="center" vertical="center"/>
    </xf>
    <xf numFmtId="167" fontId="7" fillId="0" borderId="18" xfId="8" applyNumberFormat="1" applyFont="1" applyBorder="1" applyAlignment="1">
      <alignment horizontal="center" vertical="center"/>
    </xf>
    <xf numFmtId="167" fontId="7" fillId="0" borderId="19" xfId="8" applyNumberFormat="1" applyFont="1" applyBorder="1" applyAlignment="1">
      <alignment horizontal="center" vertical="center"/>
    </xf>
    <xf numFmtId="167" fontId="7" fillId="0" borderId="20" xfId="8" applyNumberFormat="1" applyFont="1" applyBorder="1" applyAlignment="1">
      <alignment horizontal="center" vertical="center"/>
    </xf>
    <xf numFmtId="0" fontId="9" fillId="0" borderId="12" xfId="8" applyNumberFormat="1" applyFont="1" applyFill="1" applyBorder="1" applyAlignment="1" applyProtection="1">
      <alignment horizontal="center" vertical="center" wrapText="1"/>
    </xf>
    <xf numFmtId="0" fontId="9" fillId="0" borderId="13" xfId="8" applyNumberFormat="1" applyFont="1" applyFill="1" applyBorder="1" applyAlignment="1" applyProtection="1">
      <alignment horizontal="center" vertical="center" wrapText="1"/>
    </xf>
    <xf numFmtId="14" fontId="9" fillId="0" borderId="12" xfId="8" applyNumberFormat="1" applyFont="1" applyFill="1" applyBorder="1" applyAlignment="1" applyProtection="1">
      <alignment horizontal="center" vertical="center" wrapText="1"/>
      <protection locked="0"/>
    </xf>
    <xf numFmtId="14" fontId="9" fillId="0" borderId="4" xfId="8" applyNumberFormat="1" applyFont="1" applyFill="1" applyBorder="1" applyAlignment="1" applyProtection="1">
      <alignment horizontal="center" vertical="center" wrapText="1"/>
      <protection locked="0"/>
    </xf>
    <xf numFmtId="14" fontId="9" fillId="0" borderId="13" xfId="8" applyNumberFormat="1" applyFont="1" applyFill="1" applyBorder="1" applyAlignment="1" applyProtection="1">
      <alignment horizontal="center" vertical="center" wrapText="1"/>
      <protection locked="0"/>
    </xf>
    <xf numFmtId="14" fontId="9" fillId="0" borderId="4" xfId="8" applyNumberFormat="1" applyFont="1" applyFill="1" applyBorder="1" applyAlignment="1" applyProtection="1">
      <alignment horizontal="center" vertical="center" wrapText="1"/>
    </xf>
    <xf numFmtId="167" fontId="7" fillId="8" borderId="37" xfId="8" applyNumberFormat="1" applyFont="1" applyFill="1" applyBorder="1" applyAlignment="1">
      <alignment horizontal="center" vertical="center"/>
    </xf>
    <xf numFmtId="167" fontId="7" fillId="8" borderId="35" xfId="8" applyNumberFormat="1" applyFont="1" applyFill="1" applyBorder="1" applyAlignment="1">
      <alignment horizontal="center" vertical="center"/>
    </xf>
    <xf numFmtId="167" fontId="7" fillId="8" borderId="38" xfId="8" applyNumberFormat="1" applyFont="1" applyFill="1" applyBorder="1" applyAlignment="1">
      <alignment horizontal="center" vertical="center"/>
    </xf>
    <xf numFmtId="0" fontId="5" fillId="0" borderId="10" xfId="8" applyFont="1" applyFill="1" applyBorder="1" applyAlignment="1" applyProtection="1">
      <alignment horizontal="center" vertical="center" wrapText="1"/>
    </xf>
    <xf numFmtId="0" fontId="5" fillId="0" borderId="11" xfId="8" applyFont="1" applyFill="1" applyBorder="1" applyAlignment="1" applyProtection="1">
      <alignment horizontal="center" vertical="center" wrapText="1"/>
    </xf>
    <xf numFmtId="0" fontId="5" fillId="0" borderId="5" xfId="8" applyFont="1" applyFill="1" applyBorder="1" applyAlignment="1" applyProtection="1">
      <alignment horizontal="center" vertical="center" wrapText="1"/>
    </xf>
    <xf numFmtId="0" fontId="4" fillId="0" borderId="15" xfId="8" applyFont="1" applyBorder="1" applyAlignment="1">
      <alignment horizontal="center" vertical="center" wrapText="1"/>
    </xf>
    <xf numFmtId="0" fontId="4" fillId="0" borderId="3" xfId="8" applyFont="1" applyBorder="1" applyAlignment="1">
      <alignment horizontal="center" vertical="center" wrapText="1"/>
    </xf>
    <xf numFmtId="0" fontId="9" fillId="7" borderId="12" xfId="8" applyFont="1" applyFill="1" applyBorder="1" applyAlignment="1" applyProtection="1">
      <alignment horizontal="center" vertical="center" wrapText="1"/>
    </xf>
    <xf numFmtId="0" fontId="9" fillId="7" borderId="4" xfId="8" applyFont="1" applyFill="1" applyBorder="1" applyAlignment="1" applyProtection="1">
      <alignment horizontal="center" vertical="center" wrapText="1"/>
    </xf>
    <xf numFmtId="0" fontId="9" fillId="7" borderId="13" xfId="8" applyFont="1" applyFill="1" applyBorder="1" applyAlignment="1" applyProtection="1">
      <alignment horizontal="center" vertical="center" wrapText="1"/>
    </xf>
    <xf numFmtId="166" fontId="5" fillId="4" borderId="15" xfId="8" applyNumberFormat="1" applyFont="1" applyFill="1" applyBorder="1" applyAlignment="1" applyProtection="1">
      <alignment horizontal="center" vertical="center" wrapText="1"/>
    </xf>
    <xf numFmtId="166" fontId="5" fillId="4" borderId="3" xfId="8" applyNumberFormat="1" applyFont="1" applyFill="1" applyBorder="1" applyAlignment="1" applyProtection="1">
      <alignment horizontal="center" vertical="center" wrapText="1"/>
    </xf>
    <xf numFmtId="166" fontId="5" fillId="4" borderId="16" xfId="8" applyNumberFormat="1" applyFont="1" applyFill="1" applyBorder="1" applyAlignment="1" applyProtection="1">
      <alignment horizontal="center" vertical="center" wrapText="1"/>
    </xf>
    <xf numFmtId="0" fontId="6" fillId="0" borderId="12" xfId="8" applyFont="1" applyBorder="1" applyAlignment="1" applyProtection="1">
      <alignment horizontal="center" vertical="center"/>
    </xf>
    <xf numFmtId="0" fontId="6" fillId="0" borderId="4" xfId="8" applyFont="1" applyBorder="1" applyAlignment="1" applyProtection="1">
      <alignment horizontal="center" vertical="center"/>
    </xf>
    <xf numFmtId="0" fontId="6" fillId="0" borderId="13" xfId="8" applyFont="1" applyBorder="1" applyAlignment="1" applyProtection="1">
      <alignment horizontal="center" vertical="center"/>
    </xf>
    <xf numFmtId="0" fontId="10" fillId="2" borderId="12" xfId="8" applyFont="1" applyFill="1" applyBorder="1" applyAlignment="1">
      <alignment horizontal="center" vertical="center" wrapText="1"/>
    </xf>
    <xf numFmtId="0" fontId="10" fillId="2" borderId="4" xfId="8" applyFont="1" applyFill="1" applyBorder="1" applyAlignment="1">
      <alignment horizontal="center" vertical="center" wrapText="1"/>
    </xf>
    <xf numFmtId="0" fontId="10" fillId="2" borderId="13" xfId="8" applyFont="1" applyFill="1" applyBorder="1" applyAlignment="1">
      <alignment horizontal="center" vertical="center" wrapText="1"/>
    </xf>
  </cellXfs>
  <cellStyles count="500">
    <cellStyle name="Comma" xfId="5" builtinId="3"/>
    <cellStyle name="Followed Hyperlink" xfId="71" builtinId="9" hidden="1"/>
    <cellStyle name="Followed Hyperlink" xfId="75" builtinId="9" hidden="1"/>
    <cellStyle name="Followed Hyperlink" xfId="79" builtinId="9" hidden="1"/>
    <cellStyle name="Followed Hyperlink" xfId="83" builtinId="9" hidden="1"/>
    <cellStyle name="Followed Hyperlink" xfId="87" builtinId="9" hidden="1"/>
    <cellStyle name="Followed Hyperlink" xfId="91" builtinId="9" hidden="1"/>
    <cellStyle name="Followed Hyperlink" xfId="95" builtinId="9" hidden="1"/>
    <cellStyle name="Followed Hyperlink" xfId="99" builtinId="9" hidden="1"/>
    <cellStyle name="Followed Hyperlink" xfId="103" builtinId="9" hidden="1"/>
    <cellStyle name="Followed Hyperlink" xfId="107" builtinId="9" hidden="1"/>
    <cellStyle name="Followed Hyperlink" xfId="111" builtinId="9" hidden="1"/>
    <cellStyle name="Followed Hyperlink" xfId="115" builtinId="9" hidden="1"/>
    <cellStyle name="Followed Hyperlink" xfId="119" builtinId="9" hidden="1"/>
    <cellStyle name="Followed Hyperlink" xfId="123" builtinId="9" hidden="1"/>
    <cellStyle name="Followed Hyperlink" xfId="127" builtinId="9" hidden="1"/>
    <cellStyle name="Followed Hyperlink" xfId="131" builtinId="9" hidden="1"/>
    <cellStyle name="Followed Hyperlink" xfId="135" builtinId="9" hidden="1"/>
    <cellStyle name="Followed Hyperlink" xfId="139" builtinId="9" hidden="1"/>
    <cellStyle name="Followed Hyperlink" xfId="143" builtinId="9" hidden="1"/>
    <cellStyle name="Followed Hyperlink" xfId="147" builtinId="9" hidden="1"/>
    <cellStyle name="Followed Hyperlink" xfId="151" builtinId="9" hidden="1"/>
    <cellStyle name="Followed Hyperlink" xfId="155" builtinId="9" hidden="1"/>
    <cellStyle name="Followed Hyperlink" xfId="159" builtinId="9" hidden="1"/>
    <cellStyle name="Followed Hyperlink" xfId="163" builtinId="9" hidden="1"/>
    <cellStyle name="Followed Hyperlink" xfId="167" builtinId="9" hidden="1"/>
    <cellStyle name="Followed Hyperlink" xfId="171" builtinId="9" hidden="1"/>
    <cellStyle name="Followed Hyperlink" xfId="175" builtinId="9" hidden="1"/>
    <cellStyle name="Followed Hyperlink" xfId="179" builtinId="9" hidden="1"/>
    <cellStyle name="Followed Hyperlink" xfId="183" builtinId="9" hidden="1"/>
    <cellStyle name="Followed Hyperlink" xfId="187" builtinId="9" hidden="1"/>
    <cellStyle name="Followed Hyperlink" xfId="191" builtinId="9" hidden="1"/>
    <cellStyle name="Followed Hyperlink" xfId="195" builtinId="9" hidden="1"/>
    <cellStyle name="Followed Hyperlink" xfId="199" builtinId="9" hidden="1"/>
    <cellStyle name="Followed Hyperlink" xfId="203" builtinId="9" hidden="1"/>
    <cellStyle name="Followed Hyperlink" xfId="207" builtinId="9" hidden="1"/>
    <cellStyle name="Followed Hyperlink" xfId="211" builtinId="9" hidden="1"/>
    <cellStyle name="Followed Hyperlink" xfId="215" builtinId="9" hidden="1"/>
    <cellStyle name="Followed Hyperlink" xfId="219" builtinId="9" hidden="1"/>
    <cellStyle name="Followed Hyperlink" xfId="223" builtinId="9" hidden="1"/>
    <cellStyle name="Followed Hyperlink" xfId="227" builtinId="9" hidden="1"/>
    <cellStyle name="Followed Hyperlink" xfId="231" builtinId="9" hidden="1"/>
    <cellStyle name="Followed Hyperlink" xfId="235" builtinId="9" hidden="1"/>
    <cellStyle name="Followed Hyperlink" xfId="239" builtinId="9" hidden="1"/>
    <cellStyle name="Followed Hyperlink" xfId="243" builtinId="9" hidden="1"/>
    <cellStyle name="Followed Hyperlink" xfId="247" builtinId="9" hidden="1"/>
    <cellStyle name="Followed Hyperlink" xfId="251" builtinId="9" hidden="1"/>
    <cellStyle name="Followed Hyperlink" xfId="255" builtinId="9" hidden="1"/>
    <cellStyle name="Followed Hyperlink" xfId="259" builtinId="9" hidden="1"/>
    <cellStyle name="Followed Hyperlink" xfId="263" builtinId="9" hidden="1"/>
    <cellStyle name="Followed Hyperlink" xfId="267" builtinId="9" hidden="1"/>
    <cellStyle name="Followed Hyperlink" xfId="271" builtinId="9" hidden="1"/>
    <cellStyle name="Followed Hyperlink" xfId="275" builtinId="9" hidden="1"/>
    <cellStyle name="Followed Hyperlink" xfId="279" builtinId="9" hidden="1"/>
    <cellStyle name="Followed Hyperlink" xfId="283" builtinId="9" hidden="1"/>
    <cellStyle name="Followed Hyperlink" xfId="287" builtinId="9" hidden="1"/>
    <cellStyle name="Followed Hyperlink" xfId="291" builtinId="9" hidden="1"/>
    <cellStyle name="Followed Hyperlink" xfId="295" builtinId="9" hidden="1"/>
    <cellStyle name="Followed Hyperlink" xfId="299" builtinId="9" hidden="1"/>
    <cellStyle name="Followed Hyperlink" xfId="303" builtinId="9" hidden="1"/>
    <cellStyle name="Followed Hyperlink" xfId="307" builtinId="9" hidden="1"/>
    <cellStyle name="Followed Hyperlink" xfId="311" builtinId="9" hidden="1"/>
    <cellStyle name="Followed Hyperlink" xfId="315" builtinId="9" hidden="1"/>
    <cellStyle name="Followed Hyperlink" xfId="319" builtinId="9" hidden="1"/>
    <cellStyle name="Followed Hyperlink" xfId="323" builtinId="9" hidden="1"/>
    <cellStyle name="Followed Hyperlink" xfId="327" builtinId="9" hidden="1"/>
    <cellStyle name="Followed Hyperlink" xfId="331" builtinId="9" hidden="1"/>
    <cellStyle name="Followed Hyperlink" xfId="335" builtinId="9" hidden="1"/>
    <cellStyle name="Followed Hyperlink" xfId="339" builtinId="9" hidden="1"/>
    <cellStyle name="Followed Hyperlink" xfId="343" builtinId="9" hidden="1"/>
    <cellStyle name="Followed Hyperlink" xfId="347" builtinId="9" hidden="1"/>
    <cellStyle name="Followed Hyperlink" xfId="351" builtinId="9" hidden="1"/>
    <cellStyle name="Followed Hyperlink" xfId="355" builtinId="9" hidden="1"/>
    <cellStyle name="Followed Hyperlink" xfId="359" builtinId="9" hidden="1"/>
    <cellStyle name="Followed Hyperlink" xfId="363" builtinId="9" hidden="1"/>
    <cellStyle name="Followed Hyperlink" xfId="367" builtinId="9" hidden="1"/>
    <cellStyle name="Followed Hyperlink" xfId="371" builtinId="9" hidden="1"/>
    <cellStyle name="Followed Hyperlink" xfId="375" builtinId="9" hidden="1"/>
    <cellStyle name="Followed Hyperlink" xfId="379" builtinId="9" hidden="1"/>
    <cellStyle name="Followed Hyperlink" xfId="383" builtinId="9" hidden="1"/>
    <cellStyle name="Followed Hyperlink" xfId="387" builtinId="9" hidden="1"/>
    <cellStyle name="Followed Hyperlink" xfId="391" builtinId="9" hidden="1"/>
    <cellStyle name="Followed Hyperlink" xfId="395" builtinId="9" hidden="1"/>
    <cellStyle name="Followed Hyperlink" xfId="399" builtinId="9" hidden="1"/>
    <cellStyle name="Followed Hyperlink" xfId="403" builtinId="9" hidden="1"/>
    <cellStyle name="Followed Hyperlink" xfId="407" builtinId="9" hidden="1"/>
    <cellStyle name="Followed Hyperlink" xfId="411" builtinId="9" hidden="1"/>
    <cellStyle name="Followed Hyperlink" xfId="415" builtinId="9" hidden="1"/>
    <cellStyle name="Followed Hyperlink" xfId="419" builtinId="9" hidden="1"/>
    <cellStyle name="Followed Hyperlink" xfId="423" builtinId="9" hidden="1"/>
    <cellStyle name="Followed Hyperlink" xfId="427" builtinId="9" hidden="1"/>
    <cellStyle name="Followed Hyperlink" xfId="431" builtinId="9" hidden="1"/>
    <cellStyle name="Followed Hyperlink" xfId="435" builtinId="9" hidden="1"/>
    <cellStyle name="Followed Hyperlink" xfId="439" builtinId="9" hidden="1"/>
    <cellStyle name="Followed Hyperlink" xfId="443" builtinId="9" hidden="1"/>
    <cellStyle name="Followed Hyperlink" xfId="447" builtinId="9" hidden="1"/>
    <cellStyle name="Followed Hyperlink" xfId="451" builtinId="9" hidden="1"/>
    <cellStyle name="Followed Hyperlink" xfId="455" builtinId="9" hidden="1"/>
    <cellStyle name="Followed Hyperlink" xfId="459" builtinId="9" hidden="1"/>
    <cellStyle name="Followed Hyperlink" xfId="463" builtinId="9" hidden="1"/>
    <cellStyle name="Followed Hyperlink" xfId="467" builtinId="9" hidden="1"/>
    <cellStyle name="Followed Hyperlink" xfId="471" builtinId="9" hidden="1"/>
    <cellStyle name="Followed Hyperlink" xfId="475" builtinId="9" hidden="1"/>
    <cellStyle name="Followed Hyperlink" xfId="479" builtinId="9" hidden="1"/>
    <cellStyle name="Followed Hyperlink" xfId="483" builtinId="9" hidden="1"/>
    <cellStyle name="Followed Hyperlink" xfId="487" builtinId="9" hidden="1"/>
    <cellStyle name="Followed Hyperlink" xfId="491" builtinId="9" hidden="1"/>
    <cellStyle name="Followed Hyperlink" xfId="495" builtinId="9" hidden="1"/>
    <cellStyle name="Followed Hyperlink" xfId="499" builtinId="9" hidden="1"/>
    <cellStyle name="Followed Hyperlink" xfId="497" builtinId="9" hidden="1"/>
    <cellStyle name="Followed Hyperlink" xfId="493" builtinId="9" hidden="1"/>
    <cellStyle name="Followed Hyperlink" xfId="489" builtinId="9" hidden="1"/>
    <cellStyle name="Followed Hyperlink" xfId="485" builtinId="9" hidden="1"/>
    <cellStyle name="Followed Hyperlink" xfId="481" builtinId="9" hidden="1"/>
    <cellStyle name="Followed Hyperlink" xfId="477" builtinId="9" hidden="1"/>
    <cellStyle name="Followed Hyperlink" xfId="473" builtinId="9" hidden="1"/>
    <cellStyle name="Followed Hyperlink" xfId="469" builtinId="9" hidden="1"/>
    <cellStyle name="Followed Hyperlink" xfId="465" builtinId="9" hidden="1"/>
    <cellStyle name="Followed Hyperlink" xfId="461" builtinId="9" hidden="1"/>
    <cellStyle name="Followed Hyperlink" xfId="457" builtinId="9" hidden="1"/>
    <cellStyle name="Followed Hyperlink" xfId="453" builtinId="9" hidden="1"/>
    <cellStyle name="Followed Hyperlink" xfId="449" builtinId="9" hidden="1"/>
    <cellStyle name="Followed Hyperlink" xfId="445" builtinId="9" hidden="1"/>
    <cellStyle name="Followed Hyperlink" xfId="441" builtinId="9" hidden="1"/>
    <cellStyle name="Followed Hyperlink" xfId="437" builtinId="9" hidden="1"/>
    <cellStyle name="Followed Hyperlink" xfId="433" builtinId="9" hidden="1"/>
    <cellStyle name="Followed Hyperlink" xfId="429" builtinId="9" hidden="1"/>
    <cellStyle name="Followed Hyperlink" xfId="425" builtinId="9" hidden="1"/>
    <cellStyle name="Followed Hyperlink" xfId="421" builtinId="9" hidden="1"/>
    <cellStyle name="Followed Hyperlink" xfId="417" builtinId="9" hidden="1"/>
    <cellStyle name="Followed Hyperlink" xfId="413" builtinId="9" hidden="1"/>
    <cellStyle name="Followed Hyperlink" xfId="409" builtinId="9" hidden="1"/>
    <cellStyle name="Followed Hyperlink" xfId="405" builtinId="9" hidden="1"/>
    <cellStyle name="Followed Hyperlink" xfId="401" builtinId="9" hidden="1"/>
    <cellStyle name="Followed Hyperlink" xfId="397" builtinId="9" hidden="1"/>
    <cellStyle name="Followed Hyperlink" xfId="393" builtinId="9" hidden="1"/>
    <cellStyle name="Followed Hyperlink" xfId="389" builtinId="9" hidden="1"/>
    <cellStyle name="Followed Hyperlink" xfId="385" builtinId="9" hidden="1"/>
    <cellStyle name="Followed Hyperlink" xfId="381" builtinId="9" hidden="1"/>
    <cellStyle name="Followed Hyperlink" xfId="377" builtinId="9" hidden="1"/>
    <cellStyle name="Followed Hyperlink" xfId="373" builtinId="9" hidden="1"/>
    <cellStyle name="Followed Hyperlink" xfId="369" builtinId="9" hidden="1"/>
    <cellStyle name="Followed Hyperlink" xfId="365" builtinId="9" hidden="1"/>
    <cellStyle name="Followed Hyperlink" xfId="361" builtinId="9" hidden="1"/>
    <cellStyle name="Followed Hyperlink" xfId="357" builtinId="9" hidden="1"/>
    <cellStyle name="Followed Hyperlink" xfId="353" builtinId="9" hidden="1"/>
    <cellStyle name="Followed Hyperlink" xfId="349" builtinId="9" hidden="1"/>
    <cellStyle name="Followed Hyperlink" xfId="345" builtinId="9" hidden="1"/>
    <cellStyle name="Followed Hyperlink" xfId="341" builtinId="9" hidden="1"/>
    <cellStyle name="Followed Hyperlink" xfId="337" builtinId="9" hidden="1"/>
    <cellStyle name="Followed Hyperlink" xfId="333" builtinId="9" hidden="1"/>
    <cellStyle name="Followed Hyperlink" xfId="329" builtinId="9" hidden="1"/>
    <cellStyle name="Followed Hyperlink" xfId="325" builtinId="9" hidden="1"/>
    <cellStyle name="Followed Hyperlink" xfId="321" builtinId="9" hidden="1"/>
    <cellStyle name="Followed Hyperlink" xfId="317" builtinId="9" hidden="1"/>
    <cellStyle name="Followed Hyperlink" xfId="313" builtinId="9" hidden="1"/>
    <cellStyle name="Followed Hyperlink" xfId="309" builtinId="9" hidden="1"/>
    <cellStyle name="Followed Hyperlink" xfId="305" builtinId="9" hidden="1"/>
    <cellStyle name="Followed Hyperlink" xfId="301" builtinId="9" hidden="1"/>
    <cellStyle name="Followed Hyperlink" xfId="297" builtinId="9" hidden="1"/>
    <cellStyle name="Followed Hyperlink" xfId="293" builtinId="9" hidden="1"/>
    <cellStyle name="Followed Hyperlink" xfId="289" builtinId="9" hidden="1"/>
    <cellStyle name="Followed Hyperlink" xfId="285" builtinId="9" hidden="1"/>
    <cellStyle name="Followed Hyperlink" xfId="281" builtinId="9" hidden="1"/>
    <cellStyle name="Followed Hyperlink" xfId="277" builtinId="9" hidden="1"/>
    <cellStyle name="Followed Hyperlink" xfId="273" builtinId="9" hidden="1"/>
    <cellStyle name="Followed Hyperlink" xfId="269" builtinId="9" hidden="1"/>
    <cellStyle name="Followed Hyperlink" xfId="265" builtinId="9" hidden="1"/>
    <cellStyle name="Followed Hyperlink" xfId="261" builtinId="9" hidden="1"/>
    <cellStyle name="Followed Hyperlink" xfId="257" builtinId="9" hidden="1"/>
    <cellStyle name="Followed Hyperlink" xfId="253" builtinId="9" hidden="1"/>
    <cellStyle name="Followed Hyperlink" xfId="249" builtinId="9" hidden="1"/>
    <cellStyle name="Followed Hyperlink" xfId="245" builtinId="9" hidden="1"/>
    <cellStyle name="Followed Hyperlink" xfId="241" builtinId="9" hidden="1"/>
    <cellStyle name="Followed Hyperlink" xfId="237" builtinId="9" hidden="1"/>
    <cellStyle name="Followed Hyperlink" xfId="233" builtinId="9" hidden="1"/>
    <cellStyle name="Followed Hyperlink" xfId="229" builtinId="9" hidden="1"/>
    <cellStyle name="Followed Hyperlink" xfId="225" builtinId="9" hidden="1"/>
    <cellStyle name="Followed Hyperlink" xfId="221" builtinId="9" hidden="1"/>
    <cellStyle name="Followed Hyperlink" xfId="217" builtinId="9" hidden="1"/>
    <cellStyle name="Followed Hyperlink" xfId="213" builtinId="9" hidden="1"/>
    <cellStyle name="Followed Hyperlink" xfId="209" builtinId="9" hidden="1"/>
    <cellStyle name="Followed Hyperlink" xfId="205" builtinId="9" hidden="1"/>
    <cellStyle name="Followed Hyperlink" xfId="201" builtinId="9" hidden="1"/>
    <cellStyle name="Followed Hyperlink" xfId="197" builtinId="9" hidden="1"/>
    <cellStyle name="Followed Hyperlink" xfId="193" builtinId="9" hidden="1"/>
    <cellStyle name="Followed Hyperlink" xfId="189" builtinId="9" hidden="1"/>
    <cellStyle name="Followed Hyperlink" xfId="185" builtinId="9" hidden="1"/>
    <cellStyle name="Followed Hyperlink" xfId="181" builtinId="9" hidden="1"/>
    <cellStyle name="Followed Hyperlink" xfId="177" builtinId="9" hidden="1"/>
    <cellStyle name="Followed Hyperlink" xfId="173" builtinId="9" hidden="1"/>
    <cellStyle name="Followed Hyperlink" xfId="169" builtinId="9" hidden="1"/>
    <cellStyle name="Followed Hyperlink" xfId="165" builtinId="9" hidden="1"/>
    <cellStyle name="Followed Hyperlink" xfId="161" builtinId="9" hidden="1"/>
    <cellStyle name="Followed Hyperlink" xfId="157" builtinId="9" hidden="1"/>
    <cellStyle name="Followed Hyperlink" xfId="153" builtinId="9" hidden="1"/>
    <cellStyle name="Followed Hyperlink" xfId="149" builtinId="9" hidden="1"/>
    <cellStyle name="Followed Hyperlink" xfId="145" builtinId="9" hidden="1"/>
    <cellStyle name="Followed Hyperlink" xfId="141" builtinId="9" hidden="1"/>
    <cellStyle name="Followed Hyperlink" xfId="137" builtinId="9" hidden="1"/>
    <cellStyle name="Followed Hyperlink" xfId="133" builtinId="9" hidden="1"/>
    <cellStyle name="Followed Hyperlink" xfId="129" builtinId="9" hidden="1"/>
    <cellStyle name="Followed Hyperlink" xfId="125" builtinId="9" hidden="1"/>
    <cellStyle name="Followed Hyperlink" xfId="121" builtinId="9" hidden="1"/>
    <cellStyle name="Followed Hyperlink" xfId="117" builtinId="9" hidden="1"/>
    <cellStyle name="Followed Hyperlink" xfId="113" builtinId="9" hidden="1"/>
    <cellStyle name="Followed Hyperlink" xfId="109" builtinId="9" hidden="1"/>
    <cellStyle name="Followed Hyperlink" xfId="105" builtinId="9" hidden="1"/>
    <cellStyle name="Followed Hyperlink" xfId="101" builtinId="9" hidden="1"/>
    <cellStyle name="Followed Hyperlink" xfId="97" builtinId="9" hidden="1"/>
    <cellStyle name="Followed Hyperlink" xfId="93" builtinId="9" hidden="1"/>
    <cellStyle name="Followed Hyperlink" xfId="89" builtinId="9" hidden="1"/>
    <cellStyle name="Followed Hyperlink" xfId="85" builtinId="9" hidden="1"/>
    <cellStyle name="Followed Hyperlink" xfId="81" builtinId="9" hidden="1"/>
    <cellStyle name="Followed Hyperlink" xfId="77" builtinId="9" hidden="1"/>
    <cellStyle name="Followed Hyperlink" xfId="73" builtinId="9" hidden="1"/>
    <cellStyle name="Followed Hyperlink" xfId="69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7" builtinId="9" hidden="1"/>
    <cellStyle name="Followed Hyperlink" xfId="65" builtinId="9" hidden="1"/>
    <cellStyle name="Followed Hyperlink" xfId="57" builtinId="9" hidden="1"/>
    <cellStyle name="Followed Hyperlink" xfId="49" builtinId="9" hidden="1"/>
    <cellStyle name="Followed Hyperlink" xfId="41" builtinId="9" hidden="1"/>
    <cellStyle name="Followed Hyperlink" xfId="33" builtinId="9" hidden="1"/>
    <cellStyle name="Followed Hyperlink" xfId="25" builtinId="9" hidden="1"/>
    <cellStyle name="Followed Hyperlink" xfId="13" builtinId="9" hidden="1"/>
    <cellStyle name="Followed Hyperlink" xfId="15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17" builtinId="9" hidden="1"/>
    <cellStyle name="Followed Hyperlink" xfId="7" builtinId="9" hidden="1"/>
    <cellStyle name="Followed Hyperlink" xfId="11" builtinId="9" hidden="1"/>
    <cellStyle name="Followed Hyperlink" xfId="4" builtinId="9" hidden="1"/>
    <cellStyle name="Followed Hyperlink" xfId="2" builtinId="9" hidden="1"/>
    <cellStyle name="Hyperlink" xfId="194" builtinId="8" hidden="1"/>
    <cellStyle name="Hyperlink" xfId="196" builtinId="8" hidden="1"/>
    <cellStyle name="Hyperlink" xfId="200" builtinId="8" hidden="1"/>
    <cellStyle name="Hyperlink" xfId="202" builtinId="8" hidden="1"/>
    <cellStyle name="Hyperlink" xfId="204" builtinId="8" hidden="1"/>
    <cellStyle name="Hyperlink" xfId="208" builtinId="8" hidden="1"/>
    <cellStyle name="Hyperlink" xfId="210" builtinId="8" hidden="1"/>
    <cellStyle name="Hyperlink" xfId="212" builtinId="8" hidden="1"/>
    <cellStyle name="Hyperlink" xfId="216" builtinId="8" hidden="1"/>
    <cellStyle name="Hyperlink" xfId="218" builtinId="8" hidden="1"/>
    <cellStyle name="Hyperlink" xfId="220" builtinId="8" hidden="1"/>
    <cellStyle name="Hyperlink" xfId="224" builtinId="8" hidden="1"/>
    <cellStyle name="Hyperlink" xfId="226" builtinId="8" hidden="1"/>
    <cellStyle name="Hyperlink" xfId="228" builtinId="8" hidden="1"/>
    <cellStyle name="Hyperlink" xfId="232" builtinId="8" hidden="1"/>
    <cellStyle name="Hyperlink" xfId="234" builtinId="8" hidden="1"/>
    <cellStyle name="Hyperlink" xfId="236" builtinId="8" hidden="1"/>
    <cellStyle name="Hyperlink" xfId="240" builtinId="8" hidden="1"/>
    <cellStyle name="Hyperlink" xfId="242" builtinId="8" hidden="1"/>
    <cellStyle name="Hyperlink" xfId="244" builtinId="8" hidden="1"/>
    <cellStyle name="Hyperlink" xfId="248" builtinId="8" hidden="1"/>
    <cellStyle name="Hyperlink" xfId="250" builtinId="8" hidden="1"/>
    <cellStyle name="Hyperlink" xfId="252" builtinId="8" hidden="1"/>
    <cellStyle name="Hyperlink" xfId="256" builtinId="8" hidden="1"/>
    <cellStyle name="Hyperlink" xfId="258" builtinId="8" hidden="1"/>
    <cellStyle name="Hyperlink" xfId="260" builtinId="8" hidden="1"/>
    <cellStyle name="Hyperlink" xfId="264" builtinId="8" hidden="1"/>
    <cellStyle name="Hyperlink" xfId="266" builtinId="8" hidden="1"/>
    <cellStyle name="Hyperlink" xfId="268" builtinId="8" hidden="1"/>
    <cellStyle name="Hyperlink" xfId="272" builtinId="8" hidden="1"/>
    <cellStyle name="Hyperlink" xfId="274" builtinId="8" hidden="1"/>
    <cellStyle name="Hyperlink" xfId="276" builtinId="8" hidden="1"/>
    <cellStyle name="Hyperlink" xfId="280" builtinId="8" hidden="1"/>
    <cellStyle name="Hyperlink" xfId="282" builtinId="8" hidden="1"/>
    <cellStyle name="Hyperlink" xfId="284" builtinId="8" hidden="1"/>
    <cellStyle name="Hyperlink" xfId="288" builtinId="8" hidden="1"/>
    <cellStyle name="Hyperlink" xfId="290" builtinId="8" hidden="1"/>
    <cellStyle name="Hyperlink" xfId="292" builtinId="8" hidden="1"/>
    <cellStyle name="Hyperlink" xfId="296" builtinId="8" hidden="1"/>
    <cellStyle name="Hyperlink" xfId="298" builtinId="8" hidden="1"/>
    <cellStyle name="Hyperlink" xfId="300" builtinId="8" hidden="1"/>
    <cellStyle name="Hyperlink" xfId="304" builtinId="8" hidden="1"/>
    <cellStyle name="Hyperlink" xfId="306" builtinId="8" hidden="1"/>
    <cellStyle name="Hyperlink" xfId="308" builtinId="8" hidden="1"/>
    <cellStyle name="Hyperlink" xfId="312" builtinId="8" hidden="1"/>
    <cellStyle name="Hyperlink" xfId="314" builtinId="8" hidden="1"/>
    <cellStyle name="Hyperlink" xfId="316" builtinId="8" hidden="1"/>
    <cellStyle name="Hyperlink" xfId="320" builtinId="8" hidden="1"/>
    <cellStyle name="Hyperlink" xfId="322" builtinId="8" hidden="1"/>
    <cellStyle name="Hyperlink" xfId="324" builtinId="8" hidden="1"/>
    <cellStyle name="Hyperlink" xfId="328" builtinId="8" hidden="1"/>
    <cellStyle name="Hyperlink" xfId="330" builtinId="8" hidden="1"/>
    <cellStyle name="Hyperlink" xfId="332" builtinId="8" hidden="1"/>
    <cellStyle name="Hyperlink" xfId="336" builtinId="8" hidden="1"/>
    <cellStyle name="Hyperlink" xfId="338" builtinId="8" hidden="1"/>
    <cellStyle name="Hyperlink" xfId="340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2" builtinId="8" hidden="1"/>
    <cellStyle name="Hyperlink" xfId="376" builtinId="8" hidden="1"/>
    <cellStyle name="Hyperlink" xfId="378" builtinId="8" hidden="1"/>
    <cellStyle name="Hyperlink" xfId="380" builtinId="8" hidden="1"/>
    <cellStyle name="Hyperlink" xfId="384" builtinId="8" hidden="1"/>
    <cellStyle name="Hyperlink" xfId="386" builtinId="8" hidden="1"/>
    <cellStyle name="Hyperlink" xfId="388" builtinId="8" hidden="1"/>
    <cellStyle name="Hyperlink" xfId="392" builtinId="8" hidden="1"/>
    <cellStyle name="Hyperlink" xfId="394" builtinId="8" hidden="1"/>
    <cellStyle name="Hyperlink" xfId="396" builtinId="8" hidden="1"/>
    <cellStyle name="Hyperlink" xfId="400" builtinId="8" hidden="1"/>
    <cellStyle name="Hyperlink" xfId="402" builtinId="8" hidden="1"/>
    <cellStyle name="Hyperlink" xfId="404" builtinId="8" hidden="1"/>
    <cellStyle name="Hyperlink" xfId="408" builtinId="8" hidden="1"/>
    <cellStyle name="Hyperlink" xfId="410" builtinId="8" hidden="1"/>
    <cellStyle name="Hyperlink" xfId="412" builtinId="8" hidden="1"/>
    <cellStyle name="Hyperlink" xfId="416" builtinId="8" hidden="1"/>
    <cellStyle name="Hyperlink" xfId="418" builtinId="8" hidden="1"/>
    <cellStyle name="Hyperlink" xfId="420" builtinId="8" hidden="1"/>
    <cellStyle name="Hyperlink" xfId="424" builtinId="8" hidden="1"/>
    <cellStyle name="Hyperlink" xfId="426" builtinId="8" hidden="1"/>
    <cellStyle name="Hyperlink" xfId="428" builtinId="8" hidden="1"/>
    <cellStyle name="Hyperlink" xfId="432" builtinId="8" hidden="1"/>
    <cellStyle name="Hyperlink" xfId="434" builtinId="8" hidden="1"/>
    <cellStyle name="Hyperlink" xfId="436" builtinId="8" hidden="1"/>
    <cellStyle name="Hyperlink" xfId="440" builtinId="8" hidden="1"/>
    <cellStyle name="Hyperlink" xfId="442" builtinId="8" hidden="1"/>
    <cellStyle name="Hyperlink" xfId="444" builtinId="8" hidden="1"/>
    <cellStyle name="Hyperlink" xfId="448" builtinId="8" hidden="1"/>
    <cellStyle name="Hyperlink" xfId="450" builtinId="8" hidden="1"/>
    <cellStyle name="Hyperlink" xfId="452" builtinId="8" hidden="1"/>
    <cellStyle name="Hyperlink" xfId="456" builtinId="8" hidden="1"/>
    <cellStyle name="Hyperlink" xfId="458" builtinId="8" hidden="1"/>
    <cellStyle name="Hyperlink" xfId="460" builtinId="8" hidden="1"/>
    <cellStyle name="Hyperlink" xfId="464" builtinId="8" hidden="1"/>
    <cellStyle name="Hyperlink" xfId="466" builtinId="8" hidden="1"/>
    <cellStyle name="Hyperlink" xfId="468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2" builtinId="8" hidden="1"/>
    <cellStyle name="Hyperlink" xfId="454" builtinId="8" hidden="1"/>
    <cellStyle name="Hyperlink" xfId="446" builtinId="8" hidden="1"/>
    <cellStyle name="Hyperlink" xfId="438" builtinId="8" hidden="1"/>
    <cellStyle name="Hyperlink" xfId="430" builtinId="8" hidden="1"/>
    <cellStyle name="Hyperlink" xfId="422" builtinId="8" hidden="1"/>
    <cellStyle name="Hyperlink" xfId="414" builtinId="8" hidden="1"/>
    <cellStyle name="Hyperlink" xfId="406" builtinId="8" hidden="1"/>
    <cellStyle name="Hyperlink" xfId="398" builtinId="8" hidden="1"/>
    <cellStyle name="Hyperlink" xfId="390" builtinId="8" hidden="1"/>
    <cellStyle name="Hyperlink" xfId="382" builtinId="8" hidden="1"/>
    <cellStyle name="Hyperlink" xfId="374" builtinId="8" hidden="1"/>
    <cellStyle name="Hyperlink" xfId="366" builtinId="8" hidden="1"/>
    <cellStyle name="Hyperlink" xfId="358" builtinId="8" hidden="1"/>
    <cellStyle name="Hyperlink" xfId="350" builtinId="8" hidden="1"/>
    <cellStyle name="Hyperlink" xfId="342" builtinId="8" hidden="1"/>
    <cellStyle name="Hyperlink" xfId="334" builtinId="8" hidden="1"/>
    <cellStyle name="Hyperlink" xfId="326" builtinId="8" hidden="1"/>
    <cellStyle name="Hyperlink" xfId="318" builtinId="8" hidden="1"/>
    <cellStyle name="Hyperlink" xfId="310" builtinId="8" hidden="1"/>
    <cellStyle name="Hyperlink" xfId="302" builtinId="8" hidden="1"/>
    <cellStyle name="Hyperlink" xfId="294" builtinId="8" hidden="1"/>
    <cellStyle name="Hyperlink" xfId="286" builtinId="8" hidden="1"/>
    <cellStyle name="Hyperlink" xfId="278" builtinId="8" hidden="1"/>
    <cellStyle name="Hyperlink" xfId="270" builtinId="8" hidden="1"/>
    <cellStyle name="Hyperlink" xfId="262" builtinId="8" hidden="1"/>
    <cellStyle name="Hyperlink" xfId="254" builtinId="8" hidden="1"/>
    <cellStyle name="Hyperlink" xfId="246" builtinId="8" hidden="1"/>
    <cellStyle name="Hyperlink" xfId="238" builtinId="8" hidden="1"/>
    <cellStyle name="Hyperlink" xfId="230" builtinId="8" hidden="1"/>
    <cellStyle name="Hyperlink" xfId="222" builtinId="8" hidden="1"/>
    <cellStyle name="Hyperlink" xfId="214" builtinId="8" hidden="1"/>
    <cellStyle name="Hyperlink" xfId="206" builtinId="8" hidden="1"/>
    <cellStyle name="Hyperlink" xfId="198" builtinId="8" hidden="1"/>
    <cellStyle name="Hyperlink" xfId="84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82" builtinId="8" hidden="1"/>
    <cellStyle name="Hyperlink" xfId="166" builtinId="8" hidden="1"/>
    <cellStyle name="Hyperlink" xfId="150" builtinId="8" hidden="1"/>
    <cellStyle name="Hyperlink" xfId="134" builtinId="8" hidden="1"/>
    <cellStyle name="Hyperlink" xfId="118" builtinId="8" hidden="1"/>
    <cellStyle name="Hyperlink" xfId="102" builtinId="8" hidden="1"/>
    <cellStyle name="Hyperlink" xfId="86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7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6" builtinId="8" hidden="1"/>
    <cellStyle name="Hyperlink" xfId="10" builtinId="8" hidden="1"/>
    <cellStyle name="Hyperlink" xfId="3" builtinId="8" hidden="1"/>
    <cellStyle name="Hyperlink" xfId="1" builtinId="8" hidden="1"/>
    <cellStyle name="Normal" xfId="0" builtinId="0"/>
    <cellStyle name="Normal 2" xfId="8" xr:uid="{00000000-0005-0000-0000-0000F2010000}"/>
    <cellStyle name="Note 2" xfId="9" xr:uid="{00000000-0005-0000-0000-0000F3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haran/Downloads/New%20Time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Employee Time Sheet (2)"/>
      <sheetName val="76 hours timesheet"/>
      <sheetName val="Sheet3"/>
    </sheetNames>
    <sheetDataSet>
      <sheetData sheetId="0">
        <row r="3">
          <cell r="A3" t="str">
            <v>Permanent</v>
          </cell>
        </row>
        <row r="4">
          <cell r="A4" t="str">
            <v>Casual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X57"/>
  <sheetViews>
    <sheetView showGridLines="0" showZeros="0" tabSelected="1" workbookViewId="0">
      <selection activeCell="C3" sqref="C3"/>
    </sheetView>
  </sheetViews>
  <sheetFormatPr defaultColWidth="8.875" defaultRowHeight="12.75" x14ac:dyDescent="0.2"/>
  <cols>
    <col min="1" max="1" width="11.46484375" style="98" customWidth="1"/>
    <col min="2" max="2" width="10.8515625" style="98" customWidth="1"/>
    <col min="3" max="4" width="12.328125" style="98" customWidth="1"/>
    <col min="5" max="5" width="14.0546875" style="92" bestFit="1" customWidth="1"/>
    <col min="6" max="6" width="12.328125" style="100" customWidth="1"/>
    <col min="7" max="7" width="11.34375" style="100" customWidth="1"/>
    <col min="8" max="11" width="9.4921875" style="33" customWidth="1"/>
    <col min="12" max="12" width="10.8515625" style="33" customWidth="1"/>
    <col min="13" max="13" width="10.6015625" style="33" hidden="1" customWidth="1"/>
    <col min="14" max="14" width="10.97265625" style="33" bestFit="1" customWidth="1"/>
    <col min="15" max="15" width="10.35546875" style="33" hidden="1" customWidth="1"/>
    <col min="16" max="16" width="9" style="33" hidden="1" customWidth="1"/>
    <col min="17" max="17" width="8.875" style="33" hidden="1" customWidth="1"/>
    <col min="18" max="18" width="8.875" style="33" customWidth="1"/>
    <col min="19" max="19" width="9.125" style="33" customWidth="1"/>
    <col min="20" max="21" width="8.875" style="33" customWidth="1"/>
    <col min="22" max="22" width="0" style="33" hidden="1" customWidth="1"/>
    <col min="23" max="16384" width="8.875" style="33"/>
  </cols>
  <sheetData>
    <row r="1" spans="1:24" ht="35.1" customHeight="1" thickBot="1" x14ac:dyDescent="0.25">
      <c r="A1" s="112" t="s">
        <v>46</v>
      </c>
      <c r="B1" s="113"/>
      <c r="C1" s="114">
        <v>44059</v>
      </c>
      <c r="D1" s="115"/>
      <c r="E1" s="116"/>
      <c r="F1" s="117">
        <f>A16</f>
        <v>44072</v>
      </c>
      <c r="G1" s="117"/>
      <c r="H1" s="117"/>
      <c r="I1" s="82"/>
      <c r="J1" s="82"/>
      <c r="K1" s="82"/>
      <c r="L1" s="83"/>
      <c r="M1" s="83"/>
      <c r="N1" s="84"/>
      <c r="O1" s="84"/>
      <c r="P1" s="83"/>
      <c r="Q1" s="83"/>
      <c r="R1" s="83"/>
      <c r="S1" s="83"/>
      <c r="T1" s="83"/>
      <c r="U1" s="85"/>
    </row>
    <row r="2" spans="1:24" ht="31.5" customHeight="1" thickBot="1" x14ac:dyDescent="0.2">
      <c r="A2" s="28" t="s">
        <v>2</v>
      </c>
      <c r="B2" s="28" t="s">
        <v>3</v>
      </c>
      <c r="C2" s="71" t="s">
        <v>18</v>
      </c>
      <c r="D2" s="71" t="s">
        <v>17</v>
      </c>
      <c r="E2" s="28" t="s">
        <v>19</v>
      </c>
      <c r="F2" s="71" t="s">
        <v>12</v>
      </c>
      <c r="G2" s="71" t="s">
        <v>13</v>
      </c>
      <c r="H2" s="28" t="s">
        <v>14</v>
      </c>
      <c r="I2" s="28" t="s">
        <v>68</v>
      </c>
      <c r="J2" s="28" t="s">
        <v>48</v>
      </c>
      <c r="K2" s="28" t="s">
        <v>49</v>
      </c>
      <c r="L2" s="28" t="s">
        <v>20</v>
      </c>
      <c r="M2" s="28" t="s">
        <v>15</v>
      </c>
      <c r="N2" s="28" t="s">
        <v>4</v>
      </c>
      <c r="O2" s="28" t="s">
        <v>64</v>
      </c>
      <c r="P2" s="1" t="s">
        <v>21</v>
      </c>
      <c r="Q2" s="1" t="s">
        <v>24</v>
      </c>
      <c r="R2" s="1" t="s">
        <v>30</v>
      </c>
      <c r="S2" s="1" t="s">
        <v>31</v>
      </c>
      <c r="T2" s="1" t="s">
        <v>29</v>
      </c>
      <c r="U2" s="1" t="s">
        <v>43</v>
      </c>
      <c r="V2" s="1" t="s">
        <v>66</v>
      </c>
      <c r="W2" s="1" t="s">
        <v>67</v>
      </c>
    </row>
    <row r="3" spans="1:24" ht="17.100000000000001" customHeight="1" x14ac:dyDescent="0.15">
      <c r="A3" s="29">
        <f>C1</f>
        <v>44059</v>
      </c>
      <c r="B3" s="10" t="s">
        <v>8</v>
      </c>
      <c r="C3" s="11">
        <v>0.33333333333333331</v>
      </c>
      <c r="D3" s="11">
        <v>0.66666666666666663</v>
      </c>
      <c r="E3" s="6">
        <f>((D3-C3+(C3&gt;D3))*24)</f>
        <v>8</v>
      </c>
      <c r="F3" s="11"/>
      <c r="G3" s="11"/>
      <c r="H3" s="7">
        <f t="shared" ref="H3:H16" si="0">IF(Q3&gt;8,8,($E3-$N3))</f>
        <v>8</v>
      </c>
      <c r="I3" s="11"/>
      <c r="J3" s="77"/>
      <c r="K3" s="77"/>
      <c r="L3" s="15" t="str">
        <f t="shared" ref="L3:L5" si="1">IF(P3&gt;0,M3-P3,M3)</f>
        <v>0</v>
      </c>
      <c r="M3" s="15" t="str">
        <f t="shared" ref="M3:M11" si="2">IF(F3=0,"0",IF(F3&gt;C3,(24*TEXT(F3-C3,"HH:MM")), (24*TEXT(D3-G3,"HH:MM"))))</f>
        <v>0</v>
      </c>
      <c r="N3" s="15">
        <f t="shared" ref="N3:N11" si="3">IF($Q3&gt;8,$Q3-8,(IF(E3&gt;8,E3-8,0)))</f>
        <v>0</v>
      </c>
      <c r="O3" s="6">
        <f t="shared" ref="O3:O11" si="4">L3+N3</f>
        <v>0</v>
      </c>
      <c r="P3" s="6">
        <f t="shared" ref="P3:P16" si="5">IF(AND(F3&gt;0, ((G3-F3+(F3&gt;G3))*24)&lt;8),8- ((G3-F3+(F3&gt;G3))*24),0)</f>
        <v>0</v>
      </c>
      <c r="Q3" s="6">
        <f t="shared" ref="Q3:Q16" si="6">((G3-F3+(F3&gt;G3))*24)</f>
        <v>0</v>
      </c>
      <c r="R3" s="6"/>
      <c r="S3" s="6"/>
      <c r="T3" s="6"/>
      <c r="U3" s="6"/>
      <c r="V3" s="76">
        <f>IF(F3&gt;0,F3+(8/24),IF(C3&gt;0,C3+(8/24),0))</f>
        <v>0.66666666666666663</v>
      </c>
      <c r="W3" s="6">
        <f t="shared" ref="W3" si="7">IF(I3&gt;0,IF(I3&gt;V3,0,((V3-I3+(I3&gt;V3))*24)*150%),0)</f>
        <v>0</v>
      </c>
    </row>
    <row r="4" spans="1:24" ht="17.100000000000001" customHeight="1" x14ac:dyDescent="0.15">
      <c r="A4" s="30">
        <f>A3+1</f>
        <v>44060</v>
      </c>
      <c r="B4" s="2" t="s">
        <v>9</v>
      </c>
      <c r="C4" s="9">
        <v>0.14583333333333334</v>
      </c>
      <c r="D4" s="9">
        <v>0.5</v>
      </c>
      <c r="E4" s="3">
        <f>((D4-C4+(C4&gt;D4))*24)</f>
        <v>8.5</v>
      </c>
      <c r="F4" s="9"/>
      <c r="G4" s="9"/>
      <c r="H4" s="3">
        <f t="shared" si="0"/>
        <v>8</v>
      </c>
      <c r="I4" s="9"/>
      <c r="J4" s="78"/>
      <c r="K4" s="78"/>
      <c r="L4" s="16" t="str">
        <f t="shared" si="1"/>
        <v>0</v>
      </c>
      <c r="M4" s="32" t="str">
        <f t="shared" si="2"/>
        <v>0</v>
      </c>
      <c r="N4" s="3">
        <f t="shared" si="3"/>
        <v>0.5</v>
      </c>
      <c r="O4" s="3">
        <f t="shared" si="4"/>
        <v>0.5</v>
      </c>
      <c r="P4" s="3">
        <f t="shared" si="5"/>
        <v>0</v>
      </c>
      <c r="Q4" s="3">
        <f t="shared" si="6"/>
        <v>0</v>
      </c>
      <c r="R4" s="3">
        <f>IF($F4&gt;0,IF(AND($F4&gt;=$R$23,$F4&lt;=$S$23),H4,0),IF(AND($C4&gt;=$R$23,$C4&lt;=$S$23),H4,0))</f>
        <v>0</v>
      </c>
      <c r="S4" s="3">
        <f t="shared" ref="S4:S8" si="8">IF(OR(AND($C4&gt;=$R$21, $C4&lt;$S$21, OR($D4&gt;$S$21, D4&gt;=$T$21)),(AND($F4&gt;$R$21,$F4&lt;$S$21,OR($G4&gt;$S$21,G4&gt;=$T$21)))),H4,0)</f>
        <v>0</v>
      </c>
      <c r="T4" s="16">
        <f>IF($F4&gt;0,IF(OR($F4&gt;$R$20,AND($T$20&lt;$F4,$F4&lt;$S$20)),H4,0),IF($C4&gt;0,IF(OR($C4&gt;$R$20,AND($T$20&lt;$C4,$C4&lt;$S$20)),H4,0),0))</f>
        <v>8</v>
      </c>
      <c r="U4" s="3">
        <f>IF($F4&gt;0,IF(OR(AND($F4&gt;$R$22,$F4&lt;$S$22),AND($G4&gt;$R$22,$G4&lt;$S$22)),1,0),IF($C4&gt;0,IF(OR(AND($C4&gt;$R$22,$C4&lt;$S$22),AND($D4&gt;$R$22,$D4&lt;$S$22)),1,0),0))</f>
        <v>1</v>
      </c>
      <c r="V4" s="74">
        <f>IF(F4&gt;0,F4+(8/24),IF(C4&gt;0,C4+(8/24),0))</f>
        <v>0.47916666666666663</v>
      </c>
      <c r="W4" s="3">
        <f t="shared" ref="W4" si="9">IF(I4&gt;0,IF(I4&gt;V4,0,((V4-I4+(I4&gt;V4))*24)*150%),0)</f>
        <v>0</v>
      </c>
    </row>
    <row r="5" spans="1:24" ht="17.100000000000001" customHeight="1" x14ac:dyDescent="0.15">
      <c r="A5" s="30">
        <f t="shared" ref="A5:A16" si="10">A4+1</f>
        <v>44061</v>
      </c>
      <c r="B5" s="2" t="s">
        <v>10</v>
      </c>
      <c r="C5" s="9">
        <v>0.58263888888888882</v>
      </c>
      <c r="D5" s="9">
        <v>0.9770833333333333</v>
      </c>
      <c r="E5" s="3">
        <f>((D5-C5+(C5&gt;D5))*24)</f>
        <v>9.4666666666666686</v>
      </c>
      <c r="F5" s="9"/>
      <c r="G5" s="9"/>
      <c r="H5" s="3">
        <f t="shared" si="0"/>
        <v>8</v>
      </c>
      <c r="I5" s="9"/>
      <c r="J5" s="78"/>
      <c r="K5" s="78"/>
      <c r="L5" s="16" t="str">
        <f t="shared" si="1"/>
        <v>0</v>
      </c>
      <c r="M5" s="32" t="str">
        <f t="shared" si="2"/>
        <v>0</v>
      </c>
      <c r="N5" s="3">
        <f t="shared" si="3"/>
        <v>1.4666666666666686</v>
      </c>
      <c r="O5" s="3">
        <f t="shared" si="4"/>
        <v>1.4666666666666686</v>
      </c>
      <c r="P5" s="3">
        <f t="shared" si="5"/>
        <v>0</v>
      </c>
      <c r="Q5" s="3">
        <f t="shared" si="6"/>
        <v>0</v>
      </c>
      <c r="R5" s="3">
        <f>IF($F5&gt;0,IF(AND($F5&gt;=$R$23,$F5&lt;=$S$23),H5,0),IF(AND($C5&gt;=$R$23,$C5&lt;=$S$23),H5,0))</f>
        <v>0</v>
      </c>
      <c r="S5" s="3">
        <f t="shared" si="8"/>
        <v>8</v>
      </c>
      <c r="T5" s="16">
        <f>IF($F5&gt;0,IF(OR($F5&gt;$R$20,AND($T$20&lt;$F5,$F5&lt;$S$20)),H5,0),IF($C5&gt;0,IF(OR($C5&gt;$R$20,AND($T$20&lt;$C5,$C5&lt;$S$20)),H5,0),0))</f>
        <v>0</v>
      </c>
      <c r="U5" s="3">
        <f>IF($F5&gt;0,IF(OR(AND($F5&gt;$R$22,$F5&lt;$S$22),AND($G5&gt;$R$22,$G5&lt;$S$22)),1,0),IF($C5&gt;0,IF(OR(AND($C5&gt;$R$22,$C5&lt;$S$22),AND($D5&gt;$R$22,$D5&lt;$S$22)),1,0),0))</f>
        <v>0</v>
      </c>
      <c r="V5" s="74">
        <f t="shared" ref="V5:V8" si="11">IF(F5&gt;0,F5+(8/24),IF(C5&gt;0,C5+(8/24),0))</f>
        <v>0.91597222222222219</v>
      </c>
      <c r="W5" s="3">
        <f>IF(I5&gt;0,IF(I5&gt;V5,0,((V5-I5+(I5&gt;V5))*24)*150%),0)</f>
        <v>0</v>
      </c>
    </row>
    <row r="6" spans="1:24" ht="17.100000000000001" customHeight="1" x14ac:dyDescent="0.15">
      <c r="A6" s="30">
        <f t="shared" si="10"/>
        <v>44062</v>
      </c>
      <c r="B6" s="2" t="s">
        <v>11</v>
      </c>
      <c r="C6" s="9">
        <v>0.54166666666666663</v>
      </c>
      <c r="D6" s="9">
        <v>0.875</v>
      </c>
      <c r="E6" s="3">
        <f t="shared" ref="E6:E16" si="12">((D6-C6+(C6&gt;D6))*24)</f>
        <v>8</v>
      </c>
      <c r="F6" s="9"/>
      <c r="G6" s="9"/>
      <c r="H6" s="3">
        <f t="shared" si="0"/>
        <v>8</v>
      </c>
      <c r="I6" s="9"/>
      <c r="J6" s="78"/>
      <c r="K6" s="78"/>
      <c r="L6" s="32" t="str">
        <f>IF(P6&gt;0,M6-P6,M6)</f>
        <v>0</v>
      </c>
      <c r="M6" s="32" t="str">
        <f t="shared" si="2"/>
        <v>0</v>
      </c>
      <c r="N6" s="3">
        <f t="shared" si="3"/>
        <v>0</v>
      </c>
      <c r="O6" s="3">
        <f t="shared" si="4"/>
        <v>0</v>
      </c>
      <c r="P6" s="3">
        <f t="shared" si="5"/>
        <v>0</v>
      </c>
      <c r="Q6" s="3">
        <f t="shared" si="6"/>
        <v>0</v>
      </c>
      <c r="R6" s="3">
        <f>IF($F6&gt;0,IF(AND($F6&gt;=$R$23,$F6&lt;=$S$23),H6,0),IF(AND($C6&gt;=$R$23,$C6&lt;=$S$23),H6,0))</f>
        <v>0</v>
      </c>
      <c r="S6" s="3">
        <f t="shared" si="8"/>
        <v>8</v>
      </c>
      <c r="T6" s="16">
        <f>IF($F6&gt;0,IF(OR($F6&gt;$R$20,AND($T$20&lt;$F6,$F6&lt;$S$20)),H6,0),IF($C6&gt;0,IF(OR($C6&gt;$R$20,AND($T$20&lt;$C6,$C6&lt;$S$20)),H6,0),0))</f>
        <v>0</v>
      </c>
      <c r="U6" s="3">
        <f>IF($F6&gt;0,IF(OR(AND($F6&gt;$R$22,$F6&lt;$S$22),AND($G6&gt;$R$22,$G6&lt;$S$22)),1,0),IF($C6&gt;0,IF(OR(AND($C6&gt;$R$22,$C6&lt;$S$22),AND($D6&gt;$R$22,$D6&lt;$S$22)),1,0),0))</f>
        <v>0</v>
      </c>
      <c r="V6" s="74">
        <f t="shared" si="11"/>
        <v>0.875</v>
      </c>
      <c r="W6" s="3">
        <f t="shared" ref="W6:W8" si="13">IF(I6&gt;0,IF(I6&gt;V6,0,((V6-I6+(I6&gt;V6))*24)*150%),0)</f>
        <v>0</v>
      </c>
    </row>
    <row r="7" spans="1:24" ht="17.100000000000001" customHeight="1" x14ac:dyDescent="0.15">
      <c r="A7" s="30">
        <f t="shared" si="10"/>
        <v>44063</v>
      </c>
      <c r="B7" s="2" t="s">
        <v>5</v>
      </c>
      <c r="C7" s="9"/>
      <c r="D7" s="9"/>
      <c r="E7" s="3">
        <f t="shared" si="12"/>
        <v>0</v>
      </c>
      <c r="F7" s="9"/>
      <c r="G7" s="9"/>
      <c r="H7" s="3">
        <f t="shared" si="0"/>
        <v>0</v>
      </c>
      <c r="I7" s="9"/>
      <c r="J7" s="78"/>
      <c r="K7" s="78"/>
      <c r="L7" s="16" t="str">
        <f t="shared" ref="L7:L16" si="14">IF(P7&gt;0,M7-P7,M7)</f>
        <v>0</v>
      </c>
      <c r="M7" s="32" t="str">
        <f t="shared" si="2"/>
        <v>0</v>
      </c>
      <c r="N7" s="3">
        <f t="shared" si="3"/>
        <v>0</v>
      </c>
      <c r="O7" s="3">
        <f t="shared" si="4"/>
        <v>0</v>
      </c>
      <c r="P7" s="3">
        <f t="shared" si="5"/>
        <v>0</v>
      </c>
      <c r="Q7" s="3">
        <f t="shared" si="6"/>
        <v>0</v>
      </c>
      <c r="R7" s="3">
        <f>IF($F7&gt;0,IF(AND($F7&gt;=$R$23,$F7&lt;=$S$23),H7,0),IF(AND($C7&gt;=$R$23,$C7&lt;=$S$23),H7,0))</f>
        <v>0</v>
      </c>
      <c r="S7" s="3">
        <f t="shared" si="8"/>
        <v>0</v>
      </c>
      <c r="T7" s="16">
        <f>IF($F7&gt;0,IF(OR($F7&gt;$R$20,AND($T$20&lt;$F7,$F7&lt;$S$20)),H7,0),IF($C7&gt;0,IF(OR($C7&gt;$R$20,AND($T$20&lt;$C7,$C7&lt;$S$20)),H7,0),0))</f>
        <v>0</v>
      </c>
      <c r="U7" s="3">
        <f>IF($F7&gt;0,IF(OR(AND($F7&gt;$R$22,$F7&lt;$S$22),AND($G7&gt;$R$22,$G7&lt;$S$22)),1,0),IF($C7&gt;0,IF(OR(AND($C7&gt;$R$22,$C7&lt;$S$22),AND($D7&gt;$R$22,$D7&lt;$S$22)),1,0),0))</f>
        <v>0</v>
      </c>
      <c r="V7" s="74">
        <f t="shared" si="11"/>
        <v>0</v>
      </c>
      <c r="W7" s="3">
        <f t="shared" si="13"/>
        <v>0</v>
      </c>
    </row>
    <row r="8" spans="1:24" ht="17.100000000000001" customHeight="1" x14ac:dyDescent="0.15">
      <c r="A8" s="30">
        <f t="shared" si="10"/>
        <v>44064</v>
      </c>
      <c r="B8" s="2" t="s">
        <v>6</v>
      </c>
      <c r="C8" s="9">
        <v>0.15972222222222224</v>
      </c>
      <c r="D8" s="9">
        <v>0.51041666666666663</v>
      </c>
      <c r="E8" s="3">
        <f t="shared" si="12"/>
        <v>8.4166666666666661</v>
      </c>
      <c r="F8" s="9"/>
      <c r="G8" s="9"/>
      <c r="H8" s="3">
        <f t="shared" si="0"/>
        <v>8</v>
      </c>
      <c r="I8" s="9"/>
      <c r="J8" s="78"/>
      <c r="K8" s="78"/>
      <c r="L8" s="16" t="str">
        <f t="shared" si="14"/>
        <v>0</v>
      </c>
      <c r="M8" s="32" t="str">
        <f t="shared" si="2"/>
        <v>0</v>
      </c>
      <c r="N8" s="3">
        <f t="shared" si="3"/>
        <v>0.41666666666666607</v>
      </c>
      <c r="O8" s="3">
        <f t="shared" si="4"/>
        <v>0.41666666666666607</v>
      </c>
      <c r="P8" s="3">
        <f t="shared" si="5"/>
        <v>0</v>
      </c>
      <c r="Q8" s="3">
        <f t="shared" si="6"/>
        <v>0</v>
      </c>
      <c r="R8" s="3">
        <f>IF($F8&gt;0,IF(AND($F8&gt;=$R$23,$F8&lt;=$S$23),H8,0),IF(AND($C8&gt;=$R$23,$C8&lt;=$S$23),H8,0))</f>
        <v>0</v>
      </c>
      <c r="S8" s="3">
        <f t="shared" si="8"/>
        <v>0</v>
      </c>
      <c r="T8" s="16">
        <f>IF($F8&gt;0,IF(OR($F8&gt;$R$20,AND($T$20&lt;$F8,$F8&lt;$S$20)),H8,0),IF($C8&gt;0,IF(OR($C8&gt;$R$20,AND($T$20&lt;$C8,$C8&lt;$S$20)),H8,0),0))</f>
        <v>8</v>
      </c>
      <c r="U8" s="3">
        <f>IF($F8&gt;0,IF(OR(AND($F8&gt;$R$22,$F8&lt;$S$22),AND($G8&gt;$R$22,$G8&lt;$S$22)),1,0),IF($C8&gt;0,IF(OR(AND($C8&gt;$R$22,$C8&lt;$S$22),AND($D8&gt;$R$22,$D8&lt;$S$22)),1,0),0))</f>
        <v>1</v>
      </c>
      <c r="V8" s="74">
        <f t="shared" si="11"/>
        <v>0.49305555555555558</v>
      </c>
      <c r="W8" s="3">
        <f t="shared" si="13"/>
        <v>0</v>
      </c>
    </row>
    <row r="9" spans="1:24" ht="17.100000000000001" customHeight="1" x14ac:dyDescent="0.15">
      <c r="A9" s="31">
        <f t="shared" si="10"/>
        <v>44065</v>
      </c>
      <c r="B9" s="12" t="s">
        <v>7</v>
      </c>
      <c r="C9" s="13">
        <v>0.66180555555555554</v>
      </c>
      <c r="D9" s="13">
        <v>0.98749999999999993</v>
      </c>
      <c r="E9" s="4">
        <f t="shared" si="12"/>
        <v>7.8166666666666655</v>
      </c>
      <c r="F9" s="13"/>
      <c r="G9" s="13"/>
      <c r="H9" s="5">
        <f t="shared" si="0"/>
        <v>7.8166666666666655</v>
      </c>
      <c r="I9" s="13"/>
      <c r="J9" s="79"/>
      <c r="K9" s="79"/>
      <c r="L9" s="17" t="str">
        <f t="shared" si="14"/>
        <v>0</v>
      </c>
      <c r="M9" s="17" t="str">
        <f t="shared" si="2"/>
        <v>0</v>
      </c>
      <c r="N9" s="17">
        <f t="shared" si="3"/>
        <v>0</v>
      </c>
      <c r="O9" s="4">
        <f t="shared" si="4"/>
        <v>0</v>
      </c>
      <c r="P9" s="4">
        <f t="shared" si="5"/>
        <v>0</v>
      </c>
      <c r="Q9" s="4">
        <f t="shared" si="6"/>
        <v>0</v>
      </c>
      <c r="R9" s="4"/>
      <c r="S9" s="4"/>
      <c r="T9" s="4"/>
      <c r="U9" s="4"/>
      <c r="V9" s="75">
        <f>IF(F9&gt;0,F9+(8/24),IF(C9&gt;0,C9+(8/24),0))</f>
        <v>0.9951388888888888</v>
      </c>
      <c r="W9" s="4">
        <f t="shared" ref="W9:W16" si="15">IF(I9&gt;0,IF(I9&gt;V9,0,((V9-I9+(I9&gt;V9))*24)*150%),0)</f>
        <v>0</v>
      </c>
    </row>
    <row r="10" spans="1:24" ht="17.100000000000001" customHeight="1" x14ac:dyDescent="0.15">
      <c r="A10" s="29">
        <f t="shared" si="10"/>
        <v>44066</v>
      </c>
      <c r="B10" s="10" t="s">
        <v>8</v>
      </c>
      <c r="C10" s="11">
        <v>0.54861111111111105</v>
      </c>
      <c r="D10" s="11">
        <v>0.81388888888888899</v>
      </c>
      <c r="E10" s="6">
        <f t="shared" si="12"/>
        <v>6.3666666666666707</v>
      </c>
      <c r="F10" s="11"/>
      <c r="G10" s="11"/>
      <c r="H10" s="7">
        <f t="shared" si="0"/>
        <v>6.3666666666666707</v>
      </c>
      <c r="I10" s="11"/>
      <c r="J10" s="77"/>
      <c r="K10" s="77"/>
      <c r="L10" s="15" t="str">
        <f t="shared" si="14"/>
        <v>0</v>
      </c>
      <c r="M10" s="15" t="str">
        <f t="shared" si="2"/>
        <v>0</v>
      </c>
      <c r="N10" s="15">
        <f t="shared" si="3"/>
        <v>0</v>
      </c>
      <c r="O10" s="6">
        <f t="shared" si="4"/>
        <v>0</v>
      </c>
      <c r="P10" s="6">
        <f t="shared" si="5"/>
        <v>0</v>
      </c>
      <c r="Q10" s="6">
        <f t="shared" si="6"/>
        <v>0</v>
      </c>
      <c r="R10" s="6"/>
      <c r="S10" s="6"/>
      <c r="T10" s="6"/>
      <c r="U10" s="6"/>
      <c r="V10" s="76">
        <f>IF(F10&gt;0,F10+(8/24),IF(C10&gt;0,C10+(8/24),0))</f>
        <v>0.88194444444444442</v>
      </c>
      <c r="W10" s="6">
        <f t="shared" si="15"/>
        <v>0</v>
      </c>
    </row>
    <row r="11" spans="1:24" ht="17.100000000000001" customHeight="1" x14ac:dyDescent="0.15">
      <c r="A11" s="30">
        <f t="shared" si="10"/>
        <v>44067</v>
      </c>
      <c r="B11" s="2" t="s">
        <v>9</v>
      </c>
      <c r="C11" s="9">
        <v>0.53055555555555556</v>
      </c>
      <c r="D11" s="9">
        <v>0.85</v>
      </c>
      <c r="E11" s="3">
        <f t="shared" si="12"/>
        <v>7.6666666666666661</v>
      </c>
      <c r="F11" s="9"/>
      <c r="G11" s="9"/>
      <c r="H11" s="3">
        <f t="shared" si="0"/>
        <v>7.6666666666666661</v>
      </c>
      <c r="I11" s="9"/>
      <c r="J11" s="78"/>
      <c r="K11" s="78"/>
      <c r="L11" s="16" t="str">
        <f t="shared" si="14"/>
        <v>0</v>
      </c>
      <c r="M11" s="32" t="str">
        <f t="shared" si="2"/>
        <v>0</v>
      </c>
      <c r="N11" s="3">
        <f t="shared" si="3"/>
        <v>0</v>
      </c>
      <c r="O11" s="3">
        <f t="shared" si="4"/>
        <v>0</v>
      </c>
      <c r="P11" s="3">
        <f t="shared" si="5"/>
        <v>0</v>
      </c>
      <c r="Q11" s="3">
        <f t="shared" si="6"/>
        <v>0</v>
      </c>
      <c r="R11" s="3">
        <f>IF($F11&gt;0,IF(AND($F11&gt;=$R$23,$F11&lt;=$S$23),H11,0),IF(AND($C11&gt;=$R$23,$C11&lt;=$S$23),H11,0))</f>
        <v>0</v>
      </c>
      <c r="S11" s="3">
        <f t="shared" ref="S11:S14" si="16">IF(OR(AND($C11&gt;=$R$21, $C11&lt;$S$21, OR($D11&gt;$S$21, D11&gt;=$T$21)),(AND($F11&gt;$R$21,$F11&lt;$S$21,OR($G11&gt;$S$21,G11&gt;=$T$21)))),H11,0)</f>
        <v>7.6666666666666661</v>
      </c>
      <c r="T11" s="16">
        <f>IF($F11&gt;0,IF(OR($F11&gt;$R$20,AND($T$20&lt;$F11,$F11&lt;$S$20)),H11,0),IF($C11&gt;0,IF(OR($C11&gt;$R$20,AND($T$20&lt;$C11,$C11&lt;$S$20)),H11,0),0))</f>
        <v>0</v>
      </c>
      <c r="U11" s="3">
        <f>IF($F11&gt;0,IF(OR(AND($F11&gt;$R$22,$F11&lt;$S$22),AND($G11&gt;$R$22,$G11&lt;$S$22)),1,0),IF($C11&gt;0,IF(OR(AND($C11&gt;$R$22,$C11&lt;$S$22),AND($D11&gt;$R$22,$D11&lt;$S$22)),1,0),0))</f>
        <v>0</v>
      </c>
      <c r="V11" s="74">
        <f t="shared" ref="V11:V15" si="17">IF(F11&gt;0,F11+(8/24),IF(C11&gt;0,C11+(8/24),0))</f>
        <v>0.86388888888888893</v>
      </c>
      <c r="W11" s="3">
        <f t="shared" si="15"/>
        <v>0</v>
      </c>
    </row>
    <row r="12" spans="1:24" ht="17.100000000000001" customHeight="1" x14ac:dyDescent="0.15">
      <c r="A12" s="30">
        <f t="shared" si="10"/>
        <v>44068</v>
      </c>
      <c r="B12" s="2" t="s">
        <v>10</v>
      </c>
      <c r="C12" s="9">
        <v>0.5</v>
      </c>
      <c r="D12" s="9">
        <v>0.83333333333333337</v>
      </c>
      <c r="E12" s="3">
        <f t="shared" si="12"/>
        <v>8</v>
      </c>
      <c r="F12" s="9"/>
      <c r="G12" s="9"/>
      <c r="H12" s="3">
        <f t="shared" si="0"/>
        <v>8</v>
      </c>
      <c r="I12" s="9"/>
      <c r="J12" s="78"/>
      <c r="K12" s="78"/>
      <c r="L12" s="16" t="str">
        <f t="shared" si="14"/>
        <v>0</v>
      </c>
      <c r="M12" s="32" t="str">
        <f>IF(F12=0,"0",IF(F12&gt;C12,(24*TEXT(F12-C12,"HH:MM")), (24*TEXT(D12-G12,"HH:MM"))))</f>
        <v>0</v>
      </c>
      <c r="N12" s="3">
        <f>IF($Q12&gt;8,$Q12-8,(IF(E12&gt;8,E12-8,0)))</f>
        <v>0</v>
      </c>
      <c r="O12" s="3">
        <f>L12+N12</f>
        <v>0</v>
      </c>
      <c r="P12" s="3">
        <f t="shared" si="5"/>
        <v>0</v>
      </c>
      <c r="Q12" s="3">
        <f t="shared" si="6"/>
        <v>0</v>
      </c>
      <c r="R12" s="3">
        <f>IF($F12&gt;0,IF(AND($F12&gt;=$R$23,$F12&lt;=$S$23),H12,0),IF(AND($C12&gt;=$R$23,$C12&lt;=$S$23),H12,0))</f>
        <v>0</v>
      </c>
      <c r="S12" s="3">
        <f t="shared" si="16"/>
        <v>8</v>
      </c>
      <c r="T12" s="16">
        <f>IF($F12&gt;0,IF(OR($F12&gt;$R$20,AND($T$20&lt;$F12,$F12&lt;$S$20)),H12,0),IF($C12&gt;0,IF(OR($C12&gt;$R$20,AND($T$20&lt;$C12,$C12&lt;$S$20)),H12,0),0))</f>
        <v>0</v>
      </c>
      <c r="U12" s="3">
        <f>IF($F12&gt;0,IF(OR(AND($F12&gt;$R$22,$F12&lt;$S$22),AND($G12&gt;$R$22,$G12&lt;$S$22)),1,0),IF($C12&gt;0,IF(OR(AND($C12&gt;$R$22,$C12&lt;$S$22),AND($D12&gt;$R$22,$D12&lt;$S$22)),1,0),0))</f>
        <v>0</v>
      </c>
      <c r="V12" s="74">
        <f t="shared" si="17"/>
        <v>0.83333333333333326</v>
      </c>
      <c r="W12" s="3">
        <f t="shared" si="15"/>
        <v>0</v>
      </c>
    </row>
    <row r="13" spans="1:24" ht="17.100000000000001" customHeight="1" x14ac:dyDescent="0.15">
      <c r="A13" s="30">
        <f t="shared" si="10"/>
        <v>44069</v>
      </c>
      <c r="B13" s="2" t="s">
        <v>11</v>
      </c>
      <c r="C13" s="9">
        <v>0.5</v>
      </c>
      <c r="D13" s="9">
        <v>0.83333333333333337</v>
      </c>
      <c r="E13" s="3">
        <f t="shared" si="12"/>
        <v>8</v>
      </c>
      <c r="F13" s="9"/>
      <c r="G13" s="9"/>
      <c r="H13" s="3">
        <f t="shared" si="0"/>
        <v>8</v>
      </c>
      <c r="I13" s="9"/>
      <c r="J13" s="78"/>
      <c r="K13" s="78"/>
      <c r="L13" s="16" t="str">
        <f t="shared" si="14"/>
        <v>0</v>
      </c>
      <c r="M13" s="32" t="str">
        <f t="shared" ref="M13:M16" si="18">IF(F13=0,"0",IF(F13&gt;C13,(24*TEXT(F13-C13,"HH:MM")), (24*TEXT(D13-G13,"HH:MM"))))</f>
        <v>0</v>
      </c>
      <c r="N13" s="3">
        <f t="shared" ref="N13:N16" si="19">IF($Q13&gt;8,$Q13-8,(IF(E13&gt;8,E13-8,0)))</f>
        <v>0</v>
      </c>
      <c r="O13" s="3">
        <f t="shared" ref="O13:O16" si="20">L13+N13</f>
        <v>0</v>
      </c>
      <c r="P13" s="3">
        <f t="shared" si="5"/>
        <v>0</v>
      </c>
      <c r="Q13" s="3">
        <f t="shared" si="6"/>
        <v>0</v>
      </c>
      <c r="R13" s="3">
        <f>IF($F13&gt;0,IF(AND($F13&gt;=$R$23,$F13&lt;=$S$23),H13,0),IF(AND($C13&gt;=$R$23,$C13&lt;=$S$23),H13,0))</f>
        <v>0</v>
      </c>
      <c r="S13" s="3">
        <f t="shared" si="16"/>
        <v>8</v>
      </c>
      <c r="T13" s="16">
        <f>IF($F13&gt;0,IF(OR($F13&gt;$R$20,AND($T$20&lt;$F13,$F13&lt;$S$20)),H13,0),IF($C13&gt;0,IF(OR($C13&gt;$R$20,AND($T$20&lt;$C13,$C13&lt;$S$20)),H13,0),0))</f>
        <v>0</v>
      </c>
      <c r="U13" s="3">
        <f>IF($F13&gt;0,IF(OR(AND($F13&gt;$R$22,$F13&lt;$S$22),AND($G13&gt;$R$22,$G13&lt;$S$22)),1,0),IF($C13&gt;0,IF(OR(AND($C13&gt;$R$22,$C13&lt;$S$22),AND($D13&gt;$R$22,$D13&lt;$S$22)),1,0),0))</f>
        <v>0</v>
      </c>
      <c r="V13" s="74">
        <f t="shared" si="17"/>
        <v>0.83333333333333326</v>
      </c>
      <c r="W13" s="3">
        <f t="shared" si="15"/>
        <v>0</v>
      </c>
    </row>
    <row r="14" spans="1:24" ht="17.100000000000001" customHeight="1" x14ac:dyDescent="0.15">
      <c r="A14" s="30">
        <f t="shared" si="10"/>
        <v>44070</v>
      </c>
      <c r="B14" s="2" t="s">
        <v>5</v>
      </c>
      <c r="C14" s="9">
        <v>0.64097222222222217</v>
      </c>
      <c r="D14" s="9">
        <v>2.2916666666666669E-2</v>
      </c>
      <c r="E14" s="3">
        <f t="shared" si="12"/>
        <v>9.1666666666666679</v>
      </c>
      <c r="F14" s="9"/>
      <c r="G14" s="9"/>
      <c r="H14" s="3">
        <f t="shared" si="0"/>
        <v>8</v>
      </c>
      <c r="I14" s="9"/>
      <c r="J14" s="78"/>
      <c r="K14" s="78"/>
      <c r="L14" s="32" t="str">
        <f t="shared" si="14"/>
        <v>0</v>
      </c>
      <c r="M14" s="32" t="str">
        <f t="shared" si="18"/>
        <v>0</v>
      </c>
      <c r="N14" s="3">
        <f t="shared" si="19"/>
        <v>1.1666666666666679</v>
      </c>
      <c r="O14" s="3">
        <f t="shared" si="20"/>
        <v>1.1666666666666679</v>
      </c>
      <c r="P14" s="3">
        <f t="shared" si="5"/>
        <v>0</v>
      </c>
      <c r="Q14" s="3">
        <f t="shared" si="6"/>
        <v>0</v>
      </c>
      <c r="R14" s="3">
        <f>IF($F14&gt;0,IF(AND($F14&gt;=$R$23,$F14&lt;=$S$23),H14,0),IF(AND($C14&gt;=$R$23,$C14&lt;=$S$23),H14,0))</f>
        <v>0</v>
      </c>
      <c r="S14" s="3">
        <f t="shared" si="16"/>
        <v>8</v>
      </c>
      <c r="T14" s="16">
        <f>IF($F14&gt;0,IF(OR($F14&gt;$R$20,AND($T$20&lt;$F14,$F14&lt;$S$20)),H14,0),IF($C14&gt;0,IF(OR($C14&gt;$R$20,AND($T$20&lt;$C14,$C14&lt;$S$20)),H14,0),0))</f>
        <v>0</v>
      </c>
      <c r="U14" s="3">
        <f>IF($F14&gt;0,IF(OR(AND($F14&gt;$R$22,$F14&lt;$S$22),AND($G14&gt;$R$22,$G14&lt;$S$22)),1,0),IF($C14&gt;0,IF(OR(AND($C14&gt;$R$22,$C14&lt;$S$22),AND($D14&gt;$R$22,$D14&lt;$S$22)),1,0),0))</f>
        <v>0</v>
      </c>
      <c r="V14" s="74">
        <f t="shared" si="17"/>
        <v>0.97430555555555554</v>
      </c>
      <c r="W14" s="3">
        <f t="shared" si="15"/>
        <v>0</v>
      </c>
    </row>
    <row r="15" spans="1:24" ht="17.100000000000001" customHeight="1" x14ac:dyDescent="0.15">
      <c r="A15" s="30">
        <f t="shared" si="10"/>
        <v>44071</v>
      </c>
      <c r="B15" s="2" t="s">
        <v>6</v>
      </c>
      <c r="C15" s="9">
        <v>0.60416666666666663</v>
      </c>
      <c r="D15" s="9">
        <v>0.9472222222222223</v>
      </c>
      <c r="E15" s="3">
        <f t="shared" si="12"/>
        <v>8.2333333333333361</v>
      </c>
      <c r="F15" s="9"/>
      <c r="G15" s="9"/>
      <c r="H15" s="3">
        <f t="shared" si="0"/>
        <v>8</v>
      </c>
      <c r="I15" s="9"/>
      <c r="J15" s="78"/>
      <c r="K15" s="78"/>
      <c r="L15" s="16" t="str">
        <f t="shared" si="14"/>
        <v>0</v>
      </c>
      <c r="M15" s="32" t="str">
        <f t="shared" si="18"/>
        <v>0</v>
      </c>
      <c r="N15" s="3">
        <f t="shared" si="19"/>
        <v>0.23333333333333606</v>
      </c>
      <c r="O15" s="3">
        <f t="shared" si="20"/>
        <v>0.23333333333333606</v>
      </c>
      <c r="P15" s="3">
        <f t="shared" si="5"/>
        <v>0</v>
      </c>
      <c r="Q15" s="3">
        <f t="shared" si="6"/>
        <v>0</v>
      </c>
      <c r="R15" s="3">
        <f>IF($F15&gt;0,IF(AND($F15&gt;=$R$23,$F15&lt;=$S$23),H15,0),IF(AND($C15&gt;=$R$23,$C15&lt;=$S$23),H15,0))</f>
        <v>0</v>
      </c>
      <c r="S15" s="3">
        <f>IF(OR(AND($C15&gt;=$R$21, $C15&lt;$S$21, OR($D15&gt;$S$21, D15&gt;=$T$21)),(AND($F15&gt;$R$21,$F15&lt;$S$21,OR($G15&gt;$S$21,G15&gt;=$T$21)))),H15,0)</f>
        <v>8</v>
      </c>
      <c r="T15" s="16">
        <f>IF($F15&gt;0,IF(OR($F15&gt;$R$20,AND($T$20&lt;$F15,$F15&lt;$S$20)),H15,0),IF($C15&gt;0,IF(OR($C15&gt;$R$20,AND($T$20&lt;$C15,$C15&lt;$S$20)),H15,0),0))</f>
        <v>0</v>
      </c>
      <c r="U15" s="3">
        <f>IF($F15&gt;0,IF(OR(AND($F15&gt;$R$22,$F15&lt;$S$22),AND($G15&gt;$R$22,$G15&lt;$S$22)),1,0),IF($C15&gt;0,IF(OR(AND($C15&gt;$R$22,$C15&lt;$S$22),AND($D15&gt;$R$22,$D15&lt;$S$22)),1,0),0))</f>
        <v>0</v>
      </c>
      <c r="V15" s="74">
        <f t="shared" si="17"/>
        <v>0.9375</v>
      </c>
      <c r="W15" s="3">
        <f t="shared" si="15"/>
        <v>0</v>
      </c>
    </row>
    <row r="16" spans="1:24" ht="17.100000000000001" customHeight="1" thickBot="1" x14ac:dyDescent="0.2">
      <c r="A16" s="31">
        <f t="shared" si="10"/>
        <v>44072</v>
      </c>
      <c r="B16" s="18" t="s">
        <v>7</v>
      </c>
      <c r="C16" s="13"/>
      <c r="D16" s="13"/>
      <c r="E16" s="4">
        <f t="shared" si="12"/>
        <v>0</v>
      </c>
      <c r="F16" s="19"/>
      <c r="G16" s="19"/>
      <c r="H16" s="21">
        <f t="shared" si="0"/>
        <v>0</v>
      </c>
      <c r="I16" s="19"/>
      <c r="J16" s="80"/>
      <c r="K16" s="80"/>
      <c r="L16" s="22" t="str">
        <f t="shared" si="14"/>
        <v>0</v>
      </c>
      <c r="M16" s="17" t="str">
        <f t="shared" si="18"/>
        <v>0</v>
      </c>
      <c r="N16" s="17">
        <f t="shared" si="19"/>
        <v>0</v>
      </c>
      <c r="O16" s="23">
        <f t="shared" si="20"/>
        <v>0</v>
      </c>
      <c r="P16" s="4">
        <f t="shared" si="5"/>
        <v>0</v>
      </c>
      <c r="Q16" s="4">
        <f t="shared" si="6"/>
        <v>0</v>
      </c>
      <c r="R16" s="4"/>
      <c r="S16" s="4"/>
      <c r="T16" s="4"/>
      <c r="U16" s="4"/>
      <c r="V16" s="75">
        <f>IF(F16&gt;0,F16+(8/24),IF(C16&gt;0,C16+(8/24),0))</f>
        <v>0</v>
      </c>
      <c r="W16" s="4">
        <f t="shared" si="15"/>
        <v>0</v>
      </c>
      <c r="X16" s="14"/>
    </row>
    <row r="17" spans="1:24" ht="20.100000000000001" customHeight="1" thickBot="1" x14ac:dyDescent="0.2">
      <c r="A17" s="121" t="s">
        <v>65</v>
      </c>
      <c r="B17" s="122"/>
      <c r="C17" s="122"/>
      <c r="D17" s="123"/>
      <c r="E17" s="20">
        <f t="shared" ref="E17" si="21">SUM(E3:E16)</f>
        <v>97.63333333333334</v>
      </c>
      <c r="F17" s="25"/>
      <c r="G17" s="25"/>
      <c r="H17" s="26">
        <f>SUM(H3:H16)</f>
        <v>93.85</v>
      </c>
      <c r="I17" s="26"/>
      <c r="J17" s="26">
        <f t="shared" ref="J17:K17" si="22">SUM(J3:J16)</f>
        <v>0</v>
      </c>
      <c r="K17" s="26">
        <f t="shared" si="22"/>
        <v>0</v>
      </c>
      <c r="L17" s="8">
        <f>SUM(L11:L15)+SUM(L4:L8)</f>
        <v>0</v>
      </c>
      <c r="M17" s="8">
        <f>SUM(M11:M15)+SUM(M4:M8)</f>
        <v>0</v>
      </c>
      <c r="N17" s="8">
        <f>SUM(N11:N15)+SUM(N4:N8)</f>
        <v>3.7833333333333385</v>
      </c>
      <c r="O17" s="8">
        <f>SUM(O11:O15)+SUM(O4:O8)</f>
        <v>3.7833333333333385</v>
      </c>
      <c r="P17" s="24">
        <f t="shared" ref="P17:U17" si="23">SUM(P3:P16)</f>
        <v>0</v>
      </c>
      <c r="Q17" s="24">
        <f t="shared" si="23"/>
        <v>0</v>
      </c>
      <c r="R17" s="24">
        <f t="shared" si="23"/>
        <v>0</v>
      </c>
      <c r="S17" s="24">
        <f t="shared" si="23"/>
        <v>55.666666666666664</v>
      </c>
      <c r="T17" s="24">
        <f t="shared" si="23"/>
        <v>16</v>
      </c>
      <c r="U17" s="24">
        <f t="shared" si="23"/>
        <v>2</v>
      </c>
      <c r="V17" s="24"/>
      <c r="W17" s="24">
        <f>SUM(W3:W16)</f>
        <v>0</v>
      </c>
      <c r="X17" s="27"/>
    </row>
    <row r="18" spans="1:24" ht="20.100000000000001" customHeight="1" thickBot="1" x14ac:dyDescent="0.25">
      <c r="A18" s="126" t="s">
        <v>56</v>
      </c>
      <c r="B18" s="127"/>
      <c r="C18" s="127"/>
      <c r="D18" s="127"/>
      <c r="E18" s="127"/>
      <c r="F18" s="127"/>
      <c r="G18" s="127"/>
      <c r="H18" s="127"/>
      <c r="I18" s="128"/>
      <c r="J18" s="124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35"/>
      <c r="W18" s="27"/>
      <c r="X18" s="27"/>
    </row>
    <row r="19" spans="1:24" ht="36" thickBot="1" x14ac:dyDescent="0.2">
      <c r="A19" s="28" t="s">
        <v>2</v>
      </c>
      <c r="B19" s="28" t="s">
        <v>3</v>
      </c>
      <c r="C19" s="71" t="s">
        <v>18</v>
      </c>
      <c r="D19" s="71" t="s">
        <v>17</v>
      </c>
      <c r="E19" s="28" t="s">
        <v>50</v>
      </c>
      <c r="F19" s="71" t="s">
        <v>12</v>
      </c>
      <c r="G19" s="71" t="s">
        <v>13</v>
      </c>
      <c r="H19" s="54" t="s">
        <v>24</v>
      </c>
      <c r="I19" s="1" t="s">
        <v>15</v>
      </c>
      <c r="J19" s="86"/>
      <c r="K19" s="86"/>
      <c r="L19" s="35"/>
      <c r="M19" s="86"/>
      <c r="N19" s="86"/>
      <c r="O19" s="86"/>
      <c r="R19" s="35" t="s">
        <v>41</v>
      </c>
      <c r="S19" s="35" t="s">
        <v>42</v>
      </c>
      <c r="T19" s="35" t="s">
        <v>45</v>
      </c>
      <c r="U19" s="35"/>
    </row>
    <row r="20" spans="1:24" s="88" customFormat="1" x14ac:dyDescent="0.2">
      <c r="A20" s="65"/>
      <c r="B20" s="66"/>
      <c r="C20" s="49"/>
      <c r="D20" s="49"/>
      <c r="E20" s="50">
        <f>((D20-C20+(C20&gt;D20))*24)</f>
        <v>0</v>
      </c>
      <c r="F20" s="49"/>
      <c r="G20" s="49"/>
      <c r="H20" s="55">
        <f t="shared" ref="H20:H25" si="24">((G20-F20+(F20&gt;G20))*24)</f>
        <v>0</v>
      </c>
      <c r="I20" s="32" t="str">
        <f t="shared" ref="I20:I25" si="25">IF(F20=0,"0",IF(G20&gt;D20,(24*TEXT(F20-C20,"HH:MM")), (24*TEXT(D20-G20,"HH:MM"))))</f>
        <v>0</v>
      </c>
      <c r="J20" s="87"/>
      <c r="K20" s="87"/>
      <c r="L20" s="57"/>
      <c r="M20" s="87"/>
      <c r="N20" s="87"/>
      <c r="O20" s="87"/>
      <c r="R20" s="95">
        <v>0.75</v>
      </c>
      <c r="S20" s="95">
        <v>0.16666666666666666</v>
      </c>
      <c r="T20" s="96">
        <v>0</v>
      </c>
      <c r="U20" s="57"/>
    </row>
    <row r="21" spans="1:24" x14ac:dyDescent="0.2">
      <c r="A21" s="67"/>
      <c r="B21" s="68"/>
      <c r="C21" s="9"/>
      <c r="D21" s="9"/>
      <c r="E21" s="3">
        <f>((D21-C21+(C21&gt;D21))*24)</f>
        <v>0</v>
      </c>
      <c r="F21" s="9"/>
      <c r="G21" s="9"/>
      <c r="H21" s="56">
        <f t="shared" si="24"/>
        <v>0</v>
      </c>
      <c r="I21" s="32" t="str">
        <f t="shared" si="25"/>
        <v>0</v>
      </c>
      <c r="J21" s="86"/>
      <c r="K21" s="86"/>
      <c r="L21" s="58"/>
      <c r="M21" s="86"/>
      <c r="N21" s="86"/>
      <c r="O21" s="86"/>
      <c r="R21" s="95">
        <v>0.41666666666666669</v>
      </c>
      <c r="S21" s="95">
        <v>0.75</v>
      </c>
      <c r="T21" s="95">
        <v>0</v>
      </c>
      <c r="U21" s="58"/>
    </row>
    <row r="22" spans="1:24" x14ac:dyDescent="0.2">
      <c r="A22" s="67"/>
      <c r="B22" s="68"/>
      <c r="C22" s="9"/>
      <c r="D22" s="9"/>
      <c r="E22" s="3">
        <f>((D22-C22+(C22&gt;D22))*24)</f>
        <v>0</v>
      </c>
      <c r="F22" s="9"/>
      <c r="G22" s="9"/>
      <c r="H22" s="56">
        <f t="shared" si="24"/>
        <v>0</v>
      </c>
      <c r="I22" s="32" t="str">
        <f t="shared" si="25"/>
        <v>0</v>
      </c>
      <c r="J22" s="86"/>
      <c r="K22" s="86"/>
      <c r="L22" s="58"/>
      <c r="M22" s="86"/>
      <c r="N22" s="89"/>
      <c r="O22" s="86"/>
      <c r="R22" s="95">
        <v>4.1666666666666664E-2</v>
      </c>
      <c r="S22" s="95">
        <v>0.16666666666666666</v>
      </c>
      <c r="T22" s="95"/>
      <c r="U22" s="58"/>
    </row>
    <row r="23" spans="1:24" x14ac:dyDescent="0.2">
      <c r="A23" s="67"/>
      <c r="B23" s="68"/>
      <c r="C23" s="9"/>
      <c r="D23" s="9"/>
      <c r="E23" s="3">
        <f t="shared" ref="E23" si="26">((D23-C23+(C23&gt;D23))*24)</f>
        <v>0</v>
      </c>
      <c r="F23" s="9"/>
      <c r="G23" s="9"/>
      <c r="H23" s="56">
        <f t="shared" si="24"/>
        <v>0</v>
      </c>
      <c r="I23" s="32" t="str">
        <f t="shared" si="25"/>
        <v>0</v>
      </c>
      <c r="J23" s="86"/>
      <c r="K23" s="86"/>
      <c r="L23" s="58"/>
      <c r="M23" s="86"/>
      <c r="N23" s="86"/>
      <c r="O23" s="86"/>
      <c r="R23" s="95">
        <v>0.16666666666666666</v>
      </c>
      <c r="S23" s="95">
        <v>0.22916666666666666</v>
      </c>
      <c r="T23" s="95"/>
      <c r="U23" s="58"/>
    </row>
    <row r="24" spans="1:24" x14ac:dyDescent="0.2">
      <c r="A24" s="67"/>
      <c r="B24" s="68"/>
      <c r="C24" s="9"/>
      <c r="D24" s="9"/>
      <c r="E24" s="3">
        <f t="shared" ref="E24:E25" si="27">((D24-C24+(C24&gt;D24))*24)</f>
        <v>0</v>
      </c>
      <c r="F24" s="9"/>
      <c r="G24" s="9"/>
      <c r="H24" s="56">
        <f t="shared" si="24"/>
        <v>0</v>
      </c>
      <c r="I24" s="32" t="str">
        <f t="shared" si="25"/>
        <v>0</v>
      </c>
      <c r="J24" s="86"/>
      <c r="K24" s="86"/>
      <c r="L24" s="58"/>
      <c r="M24" s="86"/>
      <c r="N24" s="86"/>
      <c r="O24" s="86"/>
      <c r="R24" s="58"/>
      <c r="S24" s="58"/>
      <c r="T24" s="59"/>
      <c r="U24" s="58"/>
    </row>
    <row r="25" spans="1:24" ht="13.5" thickBot="1" x14ac:dyDescent="0.25">
      <c r="A25" s="69"/>
      <c r="B25" s="70"/>
      <c r="C25" s="62"/>
      <c r="D25" s="62"/>
      <c r="E25" s="3">
        <f t="shared" si="27"/>
        <v>0</v>
      </c>
      <c r="F25" s="62"/>
      <c r="G25" s="62"/>
      <c r="H25" s="61">
        <f t="shared" si="24"/>
        <v>0</v>
      </c>
      <c r="I25" s="32" t="str">
        <f t="shared" si="25"/>
        <v>0</v>
      </c>
      <c r="J25" s="86"/>
      <c r="K25" s="86"/>
      <c r="L25" s="58"/>
      <c r="M25" s="86"/>
      <c r="N25" s="86"/>
      <c r="O25" s="86"/>
      <c r="R25" s="58"/>
      <c r="S25" s="58"/>
      <c r="T25" s="59"/>
      <c r="U25" s="58"/>
    </row>
    <row r="26" spans="1:24" ht="13.5" thickBot="1" x14ac:dyDescent="0.25">
      <c r="A26" s="129" t="s">
        <v>65</v>
      </c>
      <c r="B26" s="130"/>
      <c r="C26" s="130"/>
      <c r="D26" s="131"/>
      <c r="E26" s="63">
        <f>SUM(E20:E25)</f>
        <v>0</v>
      </c>
      <c r="F26" s="64"/>
      <c r="G26" s="64"/>
      <c r="H26" s="48">
        <f>SUM(H20:H25)</f>
        <v>0</v>
      </c>
      <c r="I26" s="63">
        <f>SUM(I20:I25)</f>
        <v>0</v>
      </c>
      <c r="J26" s="60"/>
      <c r="K26" s="60"/>
      <c r="L26" s="60"/>
      <c r="M26" s="60"/>
      <c r="N26" s="86"/>
      <c r="O26" s="86"/>
      <c r="R26" s="58"/>
      <c r="S26" s="58"/>
      <c r="T26" s="59"/>
      <c r="U26" s="58"/>
    </row>
    <row r="27" spans="1:24" ht="21" thickBot="1" x14ac:dyDescent="0.25">
      <c r="A27" s="132" t="s">
        <v>32</v>
      </c>
      <c r="B27" s="133"/>
      <c r="C27" s="133"/>
      <c r="D27" s="133"/>
      <c r="E27" s="133"/>
      <c r="F27" s="133"/>
      <c r="G27" s="133"/>
      <c r="H27" s="133"/>
      <c r="I27" s="134"/>
      <c r="J27" s="86"/>
      <c r="K27" s="86"/>
      <c r="L27" s="86"/>
      <c r="M27" s="86"/>
      <c r="N27" s="86"/>
      <c r="O27" s="86"/>
      <c r="Q27" s="89"/>
    </row>
    <row r="28" spans="1:24" ht="21" thickBot="1" x14ac:dyDescent="0.25">
      <c r="A28" s="132" t="s">
        <v>69</v>
      </c>
      <c r="B28" s="133"/>
      <c r="C28" s="133"/>
      <c r="D28" s="133"/>
      <c r="E28" s="133"/>
      <c r="F28" s="133"/>
      <c r="G28" s="133"/>
      <c r="H28" s="133"/>
      <c r="I28" s="134"/>
      <c r="J28" s="86"/>
      <c r="K28" s="86"/>
      <c r="L28" s="86"/>
      <c r="M28" s="86"/>
      <c r="N28" s="86"/>
      <c r="O28" s="86"/>
      <c r="Q28" s="89"/>
    </row>
    <row r="29" spans="1:24" ht="18.95" customHeight="1" thickBot="1" x14ac:dyDescent="0.25">
      <c r="A29" s="135" t="s">
        <v>22</v>
      </c>
      <c r="B29" s="136"/>
      <c r="C29" s="136"/>
      <c r="D29" s="136"/>
      <c r="E29" s="136"/>
      <c r="F29" s="136"/>
      <c r="G29" s="136"/>
      <c r="H29" s="136"/>
      <c r="I29" s="137"/>
      <c r="J29" s="86"/>
      <c r="K29" s="86"/>
      <c r="L29" s="86"/>
      <c r="M29" s="86"/>
      <c r="N29" s="86"/>
      <c r="O29" s="86"/>
    </row>
    <row r="30" spans="1:24" ht="18" customHeight="1" thickBot="1" x14ac:dyDescent="0.25">
      <c r="A30" s="51" t="s">
        <v>33</v>
      </c>
      <c r="B30" s="118" t="s">
        <v>34</v>
      </c>
      <c r="C30" s="119"/>
      <c r="D30" s="120"/>
      <c r="E30" s="52" t="s">
        <v>35</v>
      </c>
      <c r="F30" s="53" t="s">
        <v>36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34"/>
      <c r="R30" s="34"/>
      <c r="S30" s="34"/>
    </row>
    <row r="31" spans="1:24" ht="13.5" x14ac:dyDescent="0.2">
      <c r="A31" s="41">
        <v>1001</v>
      </c>
      <c r="B31" s="101" t="s">
        <v>0</v>
      </c>
      <c r="C31" s="101"/>
      <c r="D31" s="101"/>
      <c r="E31" s="38">
        <v>35.19605</v>
      </c>
      <c r="F31" s="42">
        <f>H17*E31</f>
        <v>3303.1492924999998</v>
      </c>
      <c r="G31" s="86"/>
      <c r="H31" s="86"/>
      <c r="I31" s="86"/>
      <c r="J31" s="86"/>
      <c r="K31" s="86"/>
      <c r="L31" s="86"/>
      <c r="T31" s="90"/>
      <c r="U31" s="90"/>
      <c r="V31" s="90"/>
    </row>
    <row r="32" spans="1:24" ht="13.5" x14ac:dyDescent="0.2">
      <c r="A32" s="43">
        <v>5003</v>
      </c>
      <c r="B32" s="102" t="s">
        <v>48</v>
      </c>
      <c r="C32" s="102"/>
      <c r="D32" s="102"/>
      <c r="E32" s="36">
        <f>E31</f>
        <v>35.19605</v>
      </c>
      <c r="F32" s="44">
        <f>J17*E32</f>
        <v>0</v>
      </c>
      <c r="G32" s="86"/>
      <c r="H32" s="86"/>
      <c r="I32" s="86"/>
      <c r="J32" s="86"/>
      <c r="K32" s="86"/>
      <c r="L32" s="86"/>
      <c r="T32" s="90"/>
      <c r="U32" s="90"/>
      <c r="V32" s="90"/>
    </row>
    <row r="33" spans="1:14" ht="13.5" x14ac:dyDescent="0.2">
      <c r="A33" s="43"/>
      <c r="B33" s="102" t="s">
        <v>49</v>
      </c>
      <c r="C33" s="102"/>
      <c r="D33" s="102"/>
      <c r="E33" s="36">
        <f>E31</f>
        <v>35.19605</v>
      </c>
      <c r="F33" s="44">
        <f>K17*E33</f>
        <v>0</v>
      </c>
      <c r="G33" s="86"/>
      <c r="H33" s="86"/>
      <c r="I33" s="86"/>
      <c r="J33" s="86"/>
      <c r="K33" s="86"/>
      <c r="L33" s="86"/>
    </row>
    <row r="34" spans="1:14" ht="13.5" x14ac:dyDescent="0.2">
      <c r="A34" s="43"/>
      <c r="B34" s="102" t="s">
        <v>51</v>
      </c>
      <c r="C34" s="102"/>
      <c r="D34" s="102"/>
      <c r="E34" s="36"/>
      <c r="F34" s="44">
        <f>K17*E34</f>
        <v>0</v>
      </c>
      <c r="G34" s="86"/>
      <c r="H34" s="86"/>
      <c r="I34" s="86"/>
      <c r="J34" s="86"/>
      <c r="K34" s="86"/>
      <c r="L34" s="86"/>
    </row>
    <row r="35" spans="1:14" ht="13.5" x14ac:dyDescent="0.2">
      <c r="A35" s="45">
        <v>1010</v>
      </c>
      <c r="B35" s="105" t="s">
        <v>61</v>
      </c>
      <c r="C35" s="105"/>
      <c r="D35" s="105"/>
      <c r="E35" s="38">
        <f>E31</f>
        <v>35.19605</v>
      </c>
      <c r="F35" s="46">
        <f>E26*E35</f>
        <v>0</v>
      </c>
      <c r="G35" s="86"/>
      <c r="H35" s="86"/>
      <c r="I35" s="86"/>
      <c r="J35" s="86"/>
      <c r="K35" s="86"/>
      <c r="L35" s="86"/>
      <c r="N35" s="86"/>
    </row>
    <row r="36" spans="1:14" ht="13.5" x14ac:dyDescent="0.2">
      <c r="A36" s="45">
        <v>1011</v>
      </c>
      <c r="B36" s="105" t="s">
        <v>57</v>
      </c>
      <c r="C36" s="105"/>
      <c r="D36" s="105"/>
      <c r="E36" s="38">
        <f>E31</f>
        <v>35.19605</v>
      </c>
      <c r="F36" s="46">
        <f>(H26+I26)*E36</f>
        <v>0</v>
      </c>
      <c r="G36" s="86"/>
      <c r="H36" s="86"/>
      <c r="I36" s="86"/>
      <c r="J36" s="86"/>
      <c r="K36" s="86"/>
      <c r="L36" s="86"/>
    </row>
    <row r="37" spans="1:14" ht="14.25" thickBot="1" x14ac:dyDescent="0.25">
      <c r="A37" s="45">
        <v>1063</v>
      </c>
      <c r="B37" s="105" t="s">
        <v>58</v>
      </c>
      <c r="C37" s="105"/>
      <c r="D37" s="105"/>
      <c r="E37" s="37">
        <f>50%*E31</f>
        <v>17.598025</v>
      </c>
      <c r="F37" s="46">
        <f>(H26+I26)*E37</f>
        <v>0</v>
      </c>
      <c r="G37" s="86"/>
      <c r="H37" s="86"/>
      <c r="I37" s="86"/>
      <c r="J37" s="86"/>
      <c r="K37" s="86"/>
      <c r="L37" s="86"/>
    </row>
    <row r="38" spans="1:14" ht="15" thickBot="1" x14ac:dyDescent="0.25">
      <c r="A38" s="106" t="s">
        <v>16</v>
      </c>
      <c r="B38" s="107"/>
      <c r="C38" s="107"/>
      <c r="D38" s="107"/>
      <c r="E38" s="107"/>
      <c r="F38" s="108"/>
      <c r="G38" s="86"/>
      <c r="H38" s="86"/>
      <c r="I38" s="86"/>
      <c r="J38" s="86"/>
      <c r="K38" s="86"/>
      <c r="L38" s="86"/>
    </row>
    <row r="39" spans="1:14" ht="13.5" x14ac:dyDescent="0.2">
      <c r="A39" s="41">
        <v>1026</v>
      </c>
      <c r="B39" s="101" t="s">
        <v>63</v>
      </c>
      <c r="C39" s="101"/>
      <c r="D39" s="101"/>
      <c r="E39" s="38">
        <f>150%*E31</f>
        <v>52.794074999999999</v>
      </c>
      <c r="F39" s="42">
        <f>(IF(O4&gt;3,3,O4)+IF(O5&gt;3,3,O5)+IF(O6&gt;3,3,O6)+IF(O7&gt;3,3,O7)+IF(O8&gt;3,3,O8)+IF(O11&gt;3,3,O11)+IF(O12&gt;3,3,O12)+IF(O13&gt;3,3,O13)+IF(O14&gt;3,3,O14)+IF(O15&gt;3,3,O15))*E39</f>
        <v>199.73758375000028</v>
      </c>
      <c r="G39" s="72"/>
      <c r="I39" s="89"/>
      <c r="L39" s="73"/>
    </row>
    <row r="40" spans="1:14" ht="13.5" x14ac:dyDescent="0.2">
      <c r="A40" s="41">
        <v>1027</v>
      </c>
      <c r="B40" s="101" t="s">
        <v>62</v>
      </c>
      <c r="C40" s="101"/>
      <c r="D40" s="101"/>
      <c r="E40" s="36">
        <f>200%*E31</f>
        <v>70.392099999999999</v>
      </c>
      <c r="F40" s="42">
        <f>(IF(O3&gt;3,(O3-3),0)+IF(O4&gt;3,(O4-3),0)+IF(O5&gt;3,(O5-3),0)+IF(O6&gt;3,(O6-3),0)+IF(O7&gt;3,(O7-3),0)+IF(O8&gt;3,(O8-3),0)*IF(O11&gt;3,(O11-3),0)+IF(O12&gt;3,(O12-3),0)+IF(O13&gt;3,(O13-3),0)+IF(O14&gt;3,(O14-3),0)+IF(O15&gt;3,(O15-3),0))*E40</f>
        <v>0</v>
      </c>
      <c r="G40" s="72"/>
      <c r="I40" s="89"/>
    </row>
    <row r="41" spans="1:14" ht="13.5" x14ac:dyDescent="0.2">
      <c r="A41" s="43">
        <v>1027</v>
      </c>
      <c r="B41" s="102" t="s">
        <v>23</v>
      </c>
      <c r="C41" s="102"/>
      <c r="D41" s="102"/>
      <c r="E41" s="36">
        <f>E31*200%</f>
        <v>70.392099999999999</v>
      </c>
      <c r="F41" s="44">
        <f>(N16+N9+L9+L16)*E41</f>
        <v>0</v>
      </c>
      <c r="G41" s="72"/>
      <c r="H41" s="91"/>
      <c r="I41" s="91"/>
      <c r="J41" s="91"/>
      <c r="K41" s="91"/>
    </row>
    <row r="42" spans="1:14" ht="13.5" x14ac:dyDescent="0.2">
      <c r="A42" s="43">
        <v>1027</v>
      </c>
      <c r="B42" s="102" t="s">
        <v>25</v>
      </c>
      <c r="C42" s="102"/>
      <c r="D42" s="102"/>
      <c r="E42" s="36">
        <f>E31*200%</f>
        <v>70.392099999999999</v>
      </c>
      <c r="F42" s="44">
        <f>(L3+L10+N3+N10)*E42</f>
        <v>0</v>
      </c>
      <c r="G42" s="92"/>
      <c r="H42" s="91"/>
      <c r="I42" s="91"/>
      <c r="J42" s="91"/>
      <c r="K42" s="91"/>
    </row>
    <row r="43" spans="1:14" ht="13.5" x14ac:dyDescent="0.2">
      <c r="A43" s="43">
        <v>1064</v>
      </c>
      <c r="B43" s="102" t="s">
        <v>26</v>
      </c>
      <c r="C43" s="102"/>
      <c r="D43" s="102"/>
      <c r="E43" s="36">
        <f>E31*50%</f>
        <v>17.598025</v>
      </c>
      <c r="F43" s="44">
        <f>(H16+H9)*E43</f>
        <v>137.55789541666664</v>
      </c>
      <c r="G43" s="72"/>
      <c r="H43" s="91"/>
      <c r="I43" s="91"/>
      <c r="J43" s="91"/>
      <c r="K43" s="91"/>
    </row>
    <row r="44" spans="1:14" ht="13.5" x14ac:dyDescent="0.2">
      <c r="A44" s="43">
        <v>1076</v>
      </c>
      <c r="B44" s="102" t="s">
        <v>27</v>
      </c>
      <c r="C44" s="102"/>
      <c r="D44" s="102"/>
      <c r="E44" s="36">
        <f>E31</f>
        <v>35.19605</v>
      </c>
      <c r="F44" s="44">
        <f>(H3+H10)*E44</f>
        <v>505.64991833333346</v>
      </c>
      <c r="G44" s="92"/>
      <c r="H44" s="91"/>
      <c r="I44" s="91"/>
      <c r="J44" s="91"/>
      <c r="K44" s="91"/>
    </row>
    <row r="45" spans="1:14" ht="13.5" x14ac:dyDescent="0.2">
      <c r="A45" s="43" t="s">
        <v>1</v>
      </c>
      <c r="B45" s="109" t="s">
        <v>54</v>
      </c>
      <c r="C45" s="110"/>
      <c r="D45" s="111"/>
      <c r="E45" s="36">
        <v>13.15</v>
      </c>
      <c r="F45" s="93">
        <f>E45*11</f>
        <v>144.65</v>
      </c>
      <c r="G45" s="92"/>
      <c r="H45" s="91"/>
      <c r="I45" s="91"/>
      <c r="J45" s="91"/>
      <c r="K45" s="91"/>
    </row>
    <row r="46" spans="1:14" ht="13.5" x14ac:dyDescent="0.2">
      <c r="A46" s="43">
        <v>1462</v>
      </c>
      <c r="B46" s="102" t="s">
        <v>28</v>
      </c>
      <c r="C46" s="102"/>
      <c r="D46" s="102"/>
      <c r="E46" s="36">
        <f>E31</f>
        <v>35.19605</v>
      </c>
      <c r="F46" s="93">
        <f>E46*(4)</f>
        <v>140.7842</v>
      </c>
      <c r="G46" s="92"/>
      <c r="H46" s="91"/>
      <c r="I46" s="91"/>
      <c r="J46" s="91"/>
      <c r="K46" s="91"/>
    </row>
    <row r="47" spans="1:14" ht="13.5" x14ac:dyDescent="0.2">
      <c r="A47" s="45">
        <v>1455</v>
      </c>
      <c r="B47" s="105" t="s">
        <v>55</v>
      </c>
      <c r="C47" s="105"/>
      <c r="D47" s="105"/>
      <c r="E47" s="37">
        <f>E31</f>
        <v>35.19605</v>
      </c>
      <c r="F47" s="44">
        <f>E47*W17</f>
        <v>0</v>
      </c>
      <c r="G47" s="92"/>
      <c r="H47" s="91"/>
      <c r="I47" s="91"/>
      <c r="J47" s="91"/>
      <c r="K47" s="91"/>
    </row>
    <row r="48" spans="1:14" ht="13.5" x14ac:dyDescent="0.2">
      <c r="A48" s="45">
        <v>1453</v>
      </c>
      <c r="B48" s="105" t="s">
        <v>59</v>
      </c>
      <c r="C48" s="105"/>
      <c r="D48" s="105"/>
      <c r="E48" s="37">
        <f>E31</f>
        <v>35.19605</v>
      </c>
      <c r="F48" s="94">
        <v>0</v>
      </c>
      <c r="G48" s="92"/>
      <c r="H48" s="91"/>
      <c r="I48" s="91"/>
      <c r="J48" s="91"/>
      <c r="K48" s="91"/>
    </row>
    <row r="49" spans="1:11" ht="14.25" thickBot="1" x14ac:dyDescent="0.25">
      <c r="A49" s="45"/>
      <c r="B49" s="105" t="s">
        <v>60</v>
      </c>
      <c r="C49" s="105"/>
      <c r="D49" s="105"/>
      <c r="E49" s="37"/>
      <c r="F49" s="94">
        <v>0</v>
      </c>
      <c r="G49" s="92"/>
      <c r="H49" s="91"/>
      <c r="I49" s="91"/>
      <c r="J49" s="91"/>
      <c r="K49" s="91"/>
    </row>
    <row r="50" spans="1:11" ht="15.95" customHeight="1" thickBot="1" x14ac:dyDescent="0.25">
      <c r="A50" s="106" t="s">
        <v>37</v>
      </c>
      <c r="B50" s="107"/>
      <c r="C50" s="107"/>
      <c r="D50" s="107"/>
      <c r="E50" s="107"/>
      <c r="F50" s="108"/>
      <c r="G50" s="81" t="s">
        <v>52</v>
      </c>
      <c r="H50" s="91"/>
      <c r="I50" s="91"/>
      <c r="J50" s="91"/>
      <c r="K50" s="91"/>
    </row>
    <row r="51" spans="1:11" ht="13.5" x14ac:dyDescent="0.2">
      <c r="A51" s="43">
        <v>1470</v>
      </c>
      <c r="B51" s="102" t="s">
        <v>53</v>
      </c>
      <c r="C51" s="102"/>
      <c r="D51" s="102"/>
      <c r="E51" s="36">
        <v>4.8899999999999997</v>
      </c>
      <c r="F51" s="44">
        <f>E51*G51</f>
        <v>9.7799999999999994</v>
      </c>
      <c r="G51" s="39">
        <f>COUNTIF(U3:U16,1)</f>
        <v>2</v>
      </c>
      <c r="H51" s="91"/>
      <c r="I51" s="91"/>
      <c r="J51" s="91"/>
      <c r="K51" s="91"/>
    </row>
    <row r="52" spans="1:11" ht="13.5" x14ac:dyDescent="0.2">
      <c r="A52" s="43">
        <v>1483</v>
      </c>
      <c r="B52" s="102" t="s">
        <v>39</v>
      </c>
      <c r="C52" s="102"/>
      <c r="D52" s="102"/>
      <c r="E52" s="36">
        <v>4.1500000000000004</v>
      </c>
      <c r="F52" s="44">
        <f>R17*E52</f>
        <v>0</v>
      </c>
      <c r="G52" s="40">
        <f>COUNTIF(R3:R16,8)</f>
        <v>0</v>
      </c>
      <c r="H52" s="91"/>
      <c r="I52" s="91"/>
      <c r="J52" s="91"/>
      <c r="K52" s="91"/>
    </row>
    <row r="53" spans="1:11" ht="13.5" x14ac:dyDescent="0.2">
      <c r="A53" s="43">
        <v>1485</v>
      </c>
      <c r="B53" s="102" t="s">
        <v>40</v>
      </c>
      <c r="C53" s="102"/>
      <c r="D53" s="102"/>
      <c r="E53" s="36">
        <v>4.1500000000000004</v>
      </c>
      <c r="F53" s="44">
        <f>S17*E53</f>
        <v>231.01666666666668</v>
      </c>
      <c r="G53" s="40">
        <f>COUNTIF(S3:S16,8)</f>
        <v>6</v>
      </c>
      <c r="H53" s="91"/>
      <c r="I53" s="91"/>
      <c r="J53" s="91"/>
      <c r="K53" s="91"/>
    </row>
    <row r="54" spans="1:11" ht="13.5" x14ac:dyDescent="0.2">
      <c r="A54" s="41">
        <v>1487</v>
      </c>
      <c r="B54" s="101" t="s">
        <v>38</v>
      </c>
      <c r="C54" s="101"/>
      <c r="D54" s="101"/>
      <c r="E54" s="38">
        <v>4.8899999999999997</v>
      </c>
      <c r="F54" s="42">
        <f>T17*E54</f>
        <v>78.239999999999995</v>
      </c>
      <c r="G54" s="39">
        <f>COUNTIF(T3:T16,8)</f>
        <v>2</v>
      </c>
      <c r="H54" s="91"/>
      <c r="I54" s="91"/>
      <c r="J54" s="91"/>
      <c r="K54" s="91"/>
    </row>
    <row r="55" spans="1:11" ht="14.25" thickBot="1" x14ac:dyDescent="0.25">
      <c r="A55" s="103" t="s">
        <v>44</v>
      </c>
      <c r="B55" s="104"/>
      <c r="C55" s="104"/>
      <c r="D55" s="104"/>
      <c r="E55" s="104"/>
      <c r="F55" s="47">
        <f>SUM(F31:F37)+SUM(F39:F49)+SUM(F51:F54)</f>
        <v>4750.5655566666665</v>
      </c>
      <c r="G55" s="97"/>
      <c r="H55" s="91"/>
      <c r="I55" s="91"/>
      <c r="J55" s="91"/>
      <c r="K55" s="91"/>
    </row>
    <row r="56" spans="1:11" x14ac:dyDescent="0.15">
      <c r="F56" s="99"/>
      <c r="H56" s="91"/>
      <c r="I56" s="91"/>
      <c r="J56" s="91"/>
      <c r="K56" s="91"/>
    </row>
    <row r="57" spans="1:11" x14ac:dyDescent="0.15">
      <c r="A57" s="98" t="s">
        <v>47</v>
      </c>
      <c r="F57" s="99"/>
      <c r="H57" s="91"/>
      <c r="I57" s="91"/>
      <c r="J57" s="91"/>
      <c r="K57" s="91"/>
    </row>
  </sheetData>
  <sheetProtection password="E410" sheet="1" objects="1" scenarios="1" formatCells="0" formatColumns="0" formatRows="0" selectLockedCells="1"/>
  <mergeCells count="36">
    <mergeCell ref="J18:U18"/>
    <mergeCell ref="A18:I18"/>
    <mergeCell ref="B35:D35"/>
    <mergeCell ref="B36:D36"/>
    <mergeCell ref="A26:D26"/>
    <mergeCell ref="A27:I27"/>
    <mergeCell ref="A28:I28"/>
    <mergeCell ref="A29:I29"/>
    <mergeCell ref="A1:B1"/>
    <mergeCell ref="C1:E1"/>
    <mergeCell ref="F1:H1"/>
    <mergeCell ref="B47:D47"/>
    <mergeCell ref="B48:D48"/>
    <mergeCell ref="B30:D30"/>
    <mergeCell ref="B31:D31"/>
    <mergeCell ref="B39:D39"/>
    <mergeCell ref="B41:D41"/>
    <mergeCell ref="B42:D42"/>
    <mergeCell ref="B34:D34"/>
    <mergeCell ref="B33:D33"/>
    <mergeCell ref="B32:D32"/>
    <mergeCell ref="B37:D37"/>
    <mergeCell ref="A38:F38"/>
    <mergeCell ref="A17:D17"/>
    <mergeCell ref="B40:D40"/>
    <mergeCell ref="B53:D53"/>
    <mergeCell ref="B51:D51"/>
    <mergeCell ref="A55:E55"/>
    <mergeCell ref="B43:D43"/>
    <mergeCell ref="B44:D44"/>
    <mergeCell ref="B46:D46"/>
    <mergeCell ref="B49:D49"/>
    <mergeCell ref="A50:F50"/>
    <mergeCell ref="B45:D45"/>
    <mergeCell ref="B54:D54"/>
    <mergeCell ref="B52:D52"/>
  </mergeCells>
  <printOptions horizontalCentered="1" verticalCentered="1"/>
  <pageMargins left="0" right="0" top="0" bottom="0" header="0.51181102362204722" footer="0"/>
  <pageSetup scale="86" orientation="landscape" horizontalDpi="4294967294" verticalDpi="4294967294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Payslip1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Saharan</dc:creator>
  <cp:lastModifiedBy>Ravi Saharan</cp:lastModifiedBy>
  <dcterms:created xsi:type="dcterms:W3CDTF">2020-03-24T03:26:58Z</dcterms:created>
  <dcterms:modified xsi:type="dcterms:W3CDTF">2020-12-13T05:57:39Z</dcterms:modified>
</cp:coreProperties>
</file>