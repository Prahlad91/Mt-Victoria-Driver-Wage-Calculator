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haran/Desktop/"/>
    </mc:Choice>
  </mc:AlternateContent>
  <xr:revisionPtr revIDLastSave="0" documentId="13_ncr:1_{377EC4D7-523D-794D-9C97-65F41E9C7D30}" xr6:coauthVersionLast="47" xr6:coauthVersionMax="47" xr10:uidLastSave="{00000000-0000-0000-0000-000000000000}"/>
  <bookViews>
    <workbookView xWindow="0" yWindow="500" windowWidth="28700" windowHeight="17300" tabRatio="500" activeTab="1" xr2:uid="{00000000-000D-0000-FFFF-FFFF00000000}"/>
  </bookViews>
  <sheets>
    <sheet name="Sheet1" sheetId="4" state="hidden" r:id="rId1"/>
    <sheet name="Trial" sheetId="5" r:id="rId2"/>
  </sheets>
  <externalReferences>
    <externalReference r:id="rId3"/>
  </externalReferences>
  <definedNames>
    <definedName name="name" localSheetId="1">[1]Sheet1!$A$2:$A$4</definedName>
    <definedName name="type" localSheetId="1">[1]Sheet1!$A$3:$A$4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0" i="5" l="1"/>
  <c r="I10" i="5"/>
  <c r="Z10" i="5" s="1"/>
  <c r="I3" i="5"/>
  <c r="AA3" i="5" s="1"/>
  <c r="E3" i="5"/>
  <c r="AC3" i="5" s="1"/>
  <c r="E15" i="5"/>
  <c r="I15" i="5"/>
  <c r="J16" i="5" s="1"/>
  <c r="E16" i="5"/>
  <c r="I16" i="5"/>
  <c r="I4" i="5"/>
  <c r="E4" i="5"/>
  <c r="E12" i="5"/>
  <c r="AC12" i="5" s="1"/>
  <c r="I12" i="5"/>
  <c r="J13" i="5" s="1"/>
  <c r="I11" i="5"/>
  <c r="E11" i="5"/>
  <c r="E13" i="5"/>
  <c r="I13" i="5"/>
  <c r="E14" i="5"/>
  <c r="I14" i="5"/>
  <c r="J15" i="5" s="1"/>
  <c r="I5" i="5"/>
  <c r="E5" i="5"/>
  <c r="I6" i="5"/>
  <c r="E6" i="5"/>
  <c r="AC6" i="5" s="1"/>
  <c r="I7" i="5"/>
  <c r="E7" i="5"/>
  <c r="I8" i="5"/>
  <c r="E8" i="5"/>
  <c r="I9" i="5"/>
  <c r="E9" i="5"/>
  <c r="AC9" i="5" s="1"/>
  <c r="E10" i="5"/>
  <c r="R12" i="5"/>
  <c r="R13" i="5"/>
  <c r="R14" i="5"/>
  <c r="R15" i="5"/>
  <c r="R4" i="5"/>
  <c r="R5" i="5"/>
  <c r="R6" i="5"/>
  <c r="R7" i="5"/>
  <c r="R8" i="5"/>
  <c r="R11" i="5"/>
  <c r="R9" i="5"/>
  <c r="R16" i="5"/>
  <c r="R3" i="5"/>
  <c r="R10" i="5"/>
  <c r="J9" i="5"/>
  <c r="AC4" i="5"/>
  <c r="AC5" i="5"/>
  <c r="AC7" i="5"/>
  <c r="AC8" i="5"/>
  <c r="AC10" i="5"/>
  <c r="AC11" i="5"/>
  <c r="AC13" i="5"/>
  <c r="AC14" i="5"/>
  <c r="AC15" i="5"/>
  <c r="AC16" i="5"/>
  <c r="AA4" i="5"/>
  <c r="AA5" i="5"/>
  <c r="AA6" i="5"/>
  <c r="AA7" i="5"/>
  <c r="AA8" i="5"/>
  <c r="AA11" i="5"/>
  <c r="X8" i="5"/>
  <c r="X10" i="5"/>
  <c r="X4" i="5"/>
  <c r="X5" i="5"/>
  <c r="X6" i="5"/>
  <c r="X7" i="5"/>
  <c r="X11" i="5"/>
  <c r="Y8" i="5"/>
  <c r="Y10" i="5"/>
  <c r="Y4" i="5"/>
  <c r="Z4" i="5"/>
  <c r="Z5" i="5"/>
  <c r="Z6" i="5"/>
  <c r="Z7" i="5"/>
  <c r="Z11" i="5"/>
  <c r="O17" i="5"/>
  <c r="P17" i="5"/>
  <c r="N17" i="5"/>
  <c r="J5" i="5"/>
  <c r="E41" i="5"/>
  <c r="F41" i="5" s="1"/>
  <c r="W15" i="5"/>
  <c r="W8" i="5"/>
  <c r="T8" i="5" s="1"/>
  <c r="W9" i="5"/>
  <c r="E34" i="5"/>
  <c r="W3" i="5"/>
  <c r="W10" i="5"/>
  <c r="E35" i="5"/>
  <c r="W14" i="5"/>
  <c r="W13" i="5"/>
  <c r="W12" i="5"/>
  <c r="W11" i="5"/>
  <c r="W7" i="5"/>
  <c r="W6" i="5"/>
  <c r="T6" i="5" s="1"/>
  <c r="W5" i="5"/>
  <c r="W4" i="5"/>
  <c r="E30" i="5"/>
  <c r="W16" i="5"/>
  <c r="E24" i="5"/>
  <c r="E25" i="5"/>
  <c r="E26" i="5"/>
  <c r="E27" i="5"/>
  <c r="E28" i="5"/>
  <c r="V4" i="5"/>
  <c r="Q4" i="5" s="1"/>
  <c r="V5" i="5"/>
  <c r="V6" i="5"/>
  <c r="V7" i="5"/>
  <c r="V8" i="5"/>
  <c r="V11" i="5"/>
  <c r="V12" i="5"/>
  <c r="V13" i="5"/>
  <c r="V15" i="5"/>
  <c r="Q15" i="5" s="1"/>
  <c r="E31" i="5"/>
  <c r="V14" i="5"/>
  <c r="V9" i="5"/>
  <c r="V16" i="5"/>
  <c r="Q16" i="5" s="1"/>
  <c r="E32" i="5"/>
  <c r="V3" i="5"/>
  <c r="V10" i="5"/>
  <c r="E33" i="5"/>
  <c r="E36" i="5"/>
  <c r="E37" i="5"/>
  <c r="E38" i="5"/>
  <c r="E39" i="5"/>
  <c r="E42" i="5"/>
  <c r="E43" i="5"/>
  <c r="AB16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F1" i="5" s="1"/>
  <c r="AB15" i="5"/>
  <c r="AB14" i="5"/>
  <c r="AB13" i="5"/>
  <c r="AB12" i="5"/>
  <c r="AB11" i="5"/>
  <c r="AB10" i="5"/>
  <c r="AB9" i="5"/>
  <c r="AB8" i="5"/>
  <c r="AB7" i="5"/>
  <c r="AB6" i="5"/>
  <c r="AB5" i="5"/>
  <c r="AB4" i="5"/>
  <c r="AB3" i="5"/>
  <c r="Z3" i="5" l="1"/>
  <c r="F24" i="5"/>
  <c r="T7" i="5"/>
  <c r="Q8" i="5"/>
  <c r="U8" i="5" s="1"/>
  <c r="T9" i="5"/>
  <c r="S10" i="5" s="1"/>
  <c r="J8" i="5"/>
  <c r="J4" i="5"/>
  <c r="J7" i="5"/>
  <c r="J12" i="5"/>
  <c r="J6" i="5"/>
  <c r="Q3" i="5"/>
  <c r="Q12" i="5"/>
  <c r="F27" i="5"/>
  <c r="J14" i="5"/>
  <c r="F26" i="5"/>
  <c r="E17" i="5"/>
  <c r="F28" i="5"/>
  <c r="R17" i="5"/>
  <c r="J10" i="5"/>
  <c r="Q10" i="5"/>
  <c r="T10" i="5"/>
  <c r="S11" i="5" s="1"/>
  <c r="F25" i="5"/>
  <c r="T3" i="5"/>
  <c r="H3" i="5" s="1"/>
  <c r="AC17" i="5"/>
  <c r="F42" i="5" s="1"/>
  <c r="Q13" i="5"/>
  <c r="S8" i="5"/>
  <c r="Q7" i="5"/>
  <c r="U7" i="5" s="1"/>
  <c r="Q11" i="5"/>
  <c r="Q5" i="5"/>
  <c r="S9" i="5"/>
  <c r="I17" i="5"/>
  <c r="AA10" i="5"/>
  <c r="Y3" i="5"/>
  <c r="Q9" i="5"/>
  <c r="J11" i="5"/>
  <c r="Q14" i="5"/>
  <c r="Z8" i="5"/>
  <c r="V17" i="5"/>
  <c r="M15" i="5"/>
  <c r="M14" i="5"/>
  <c r="M12" i="5"/>
  <c r="M13" i="5"/>
  <c r="S7" i="5"/>
  <c r="H9" i="5"/>
  <c r="Q6" i="5"/>
  <c r="U6" i="5" s="1"/>
  <c r="H8" i="5"/>
  <c r="H7" i="5"/>
  <c r="Y7" i="5" s="1"/>
  <c r="T5" i="5"/>
  <c r="S6" i="5" s="1"/>
  <c r="H6" i="5"/>
  <c r="Y6" i="5" s="1"/>
  <c r="T11" i="5"/>
  <c r="H11" i="5" s="1"/>
  <c r="Y11" i="5" s="1"/>
  <c r="T4" i="5"/>
  <c r="S5" i="5" s="1"/>
  <c r="W17" i="5"/>
  <c r="H10" i="5"/>
  <c r="U9" i="5" l="1"/>
  <c r="U5" i="5"/>
  <c r="U10" i="5"/>
  <c r="Q17" i="5"/>
  <c r="H5" i="5"/>
  <c r="Y5" i="5" s="1"/>
  <c r="H4" i="5"/>
  <c r="T15" i="5"/>
  <c r="U15" i="5" s="1"/>
  <c r="H15" i="5"/>
  <c r="X15" i="5"/>
  <c r="M16" i="5"/>
  <c r="M17" i="5" s="1"/>
  <c r="AA15" i="5"/>
  <c r="Y15" i="5"/>
  <c r="Z15" i="5"/>
  <c r="U4" i="5"/>
  <c r="S4" i="5"/>
  <c r="U11" i="5"/>
  <c r="X13" i="5"/>
  <c r="Y13" i="5"/>
  <c r="T13" i="5"/>
  <c r="U13" i="5" s="1"/>
  <c r="Z13" i="5"/>
  <c r="AA13" i="5"/>
  <c r="H13" i="5"/>
  <c r="T12" i="5"/>
  <c r="U12" i="5" s="1"/>
  <c r="X27" i="5" s="1"/>
  <c r="AA12" i="5"/>
  <c r="F36" i="5"/>
  <c r="Y12" i="5"/>
  <c r="S12" i="5"/>
  <c r="X12" i="5"/>
  <c r="X14" i="5"/>
  <c r="Z14" i="5"/>
  <c r="T14" i="5"/>
  <c r="U14" i="5" s="1"/>
  <c r="Y14" i="5"/>
  <c r="AA14" i="5"/>
  <c r="H14" i="5"/>
  <c r="G48" i="5" l="1"/>
  <c r="F31" i="5"/>
  <c r="Y17" i="5"/>
  <c r="F48" i="5" s="1"/>
  <c r="S14" i="5"/>
  <c r="X17" i="5"/>
  <c r="F47" i="5" s="1"/>
  <c r="G47" i="5"/>
  <c r="S13" i="5"/>
  <c r="AA17" i="5"/>
  <c r="G46" i="5"/>
  <c r="F46" i="5" s="1"/>
  <c r="J3" i="5"/>
  <c r="T16" i="5"/>
  <c r="M18" i="5"/>
  <c r="F37" i="5" s="1"/>
  <c r="H12" i="5"/>
  <c r="L17" i="5"/>
  <c r="F39" i="5" s="1"/>
  <c r="U17" i="5"/>
  <c r="S15" i="5"/>
  <c r="S3" i="5" l="1"/>
  <c r="U16" i="5"/>
  <c r="F38" i="5"/>
  <c r="T17" i="5"/>
  <c r="S16" i="5"/>
  <c r="J17" i="5"/>
  <c r="F35" i="5"/>
  <c r="H16" i="5"/>
  <c r="H17" i="5" s="1"/>
  <c r="F23" i="5" s="1"/>
  <c r="Z12" i="5"/>
  <c r="S17" i="5" l="1"/>
  <c r="F30" i="5" s="1"/>
  <c r="U3" i="5"/>
  <c r="F33" i="5"/>
  <c r="Z17" i="5"/>
  <c r="F49" i="5" s="1"/>
  <c r="G49" i="5"/>
  <c r="F32" i="5"/>
  <c r="F34" i="5"/>
  <c r="F50" i="5" l="1"/>
</calcChain>
</file>

<file path=xl/sharedStrings.xml><?xml version="1.0" encoding="utf-8"?>
<sst xmlns="http://schemas.openxmlformats.org/spreadsheetml/2006/main" count="118" uniqueCount="104">
  <si>
    <t>PAY PERIOD</t>
  </si>
  <si>
    <t>Date</t>
  </si>
  <si>
    <t>Day</t>
  </si>
  <si>
    <t>Rostered Start time</t>
  </si>
  <si>
    <t>Rostered End time</t>
  </si>
  <si>
    <t>Rostered Hours</t>
  </si>
  <si>
    <t>Actual Start Time</t>
  </si>
  <si>
    <t xml:space="preserve">Actual End Time </t>
  </si>
  <si>
    <t>Ordinary hours</t>
  </si>
  <si>
    <t>Annual Leave</t>
  </si>
  <si>
    <t>Layback/Liftup</t>
  </si>
  <si>
    <t>Layback</t>
  </si>
  <si>
    <t>Overtime Hours</t>
  </si>
  <si>
    <t>Total OT</t>
  </si>
  <si>
    <t>Actual Hours</t>
  </si>
  <si>
    <t>Actual hours worked</t>
  </si>
  <si>
    <t>Morning</t>
  </si>
  <si>
    <t>Afternoon</t>
  </si>
  <si>
    <t>Night</t>
  </si>
  <si>
    <t>Special Loading</t>
  </si>
  <si>
    <t>8 Hour Mark</t>
  </si>
  <si>
    <t>Mileage Time</t>
  </si>
  <si>
    <t>Sun</t>
  </si>
  <si>
    <t>Mon</t>
  </si>
  <si>
    <t>Tue</t>
  </si>
  <si>
    <t>Wed</t>
  </si>
  <si>
    <t>Thu</t>
  </si>
  <si>
    <t>Fri</t>
  </si>
  <si>
    <t>Sat</t>
  </si>
  <si>
    <t>TOTAL</t>
  </si>
  <si>
    <t>*For buildup, enter only rostered times, not actual shift</t>
  </si>
  <si>
    <t>*For Security Allowance, Guarantee , WOBOD and ADO make manual entries</t>
  </si>
  <si>
    <t>PAY CALCULATOR</t>
  </si>
  <si>
    <t>CODE</t>
  </si>
  <si>
    <t>DESCRIPTION</t>
  </si>
  <si>
    <t>RATE</t>
  </si>
  <si>
    <t>PAY</t>
  </si>
  <si>
    <t>Ordinary Hours</t>
  </si>
  <si>
    <t>Annual Leave Loading</t>
  </si>
  <si>
    <t>Public Holiday worked</t>
  </si>
  <si>
    <t>Public Holiday Loading</t>
  </si>
  <si>
    <t>OVERTIME</t>
  </si>
  <si>
    <t>Scheduled OT Weekdays (150%)</t>
  </si>
  <si>
    <t>Saturday Loading (50%)</t>
  </si>
  <si>
    <t>Sunday Loading (100%)</t>
  </si>
  <si>
    <t>1435&amp;1442</t>
  </si>
  <si>
    <t>Electric Guards Allowance</t>
  </si>
  <si>
    <t>ADO (4 Hours)</t>
  </si>
  <si>
    <t>Mileage</t>
  </si>
  <si>
    <t>Guarantee</t>
  </si>
  <si>
    <t>WOBOD</t>
  </si>
  <si>
    <t>Start</t>
  </si>
  <si>
    <t>End</t>
  </si>
  <si>
    <t>Midnight</t>
  </si>
  <si>
    <t>SHIFT ALLOWANCES</t>
  </si>
  <si>
    <t>DAYS</t>
  </si>
  <si>
    <t>Sp. Loading(0101 hours - 0359 hours)</t>
  </si>
  <si>
    <t>Morning (0400 hours to 0530 hours)</t>
  </si>
  <si>
    <t>Afternoon (1001 hours - 1801 hours)</t>
  </si>
  <si>
    <t>Night (1800 hours - 0359 hours)</t>
  </si>
  <si>
    <t>TOTAL PAY</t>
  </si>
  <si>
    <t>Extra Shifts (upto 12 days)</t>
  </si>
  <si>
    <t>Extra shifts (beyond 12 days)</t>
  </si>
  <si>
    <t>Callout Allowance</t>
  </si>
  <si>
    <t>5000/5400</t>
  </si>
  <si>
    <t>Extra Shift</t>
  </si>
  <si>
    <t>Scheduled OT Weekdays (200%)</t>
  </si>
  <si>
    <t>Saturday OT (200%)</t>
  </si>
  <si>
    <t>Sunday  OT (200%)</t>
  </si>
  <si>
    <t>Extra Shifts Weekend</t>
  </si>
  <si>
    <t>161-193</t>
  </si>
  <si>
    <t>193-225</t>
  </si>
  <si>
    <t>225-257</t>
  </si>
  <si>
    <t>257-290</t>
  </si>
  <si>
    <t>290-322</t>
  </si>
  <si>
    <t>322-338</t>
  </si>
  <si>
    <t>338-354</t>
  </si>
  <si>
    <t>354-370</t>
  </si>
  <si>
    <t>370-386</t>
  </si>
  <si>
    <t>386-402</t>
  </si>
  <si>
    <t>402-418</t>
  </si>
  <si>
    <t>418-435</t>
  </si>
  <si>
    <t>435-451</t>
  </si>
  <si>
    <t>451-467</t>
  </si>
  <si>
    <t>467-483</t>
  </si>
  <si>
    <t>483-499</t>
  </si>
  <si>
    <t>499-515</t>
  </si>
  <si>
    <t>515-531</t>
  </si>
  <si>
    <t>531-547</t>
  </si>
  <si>
    <t>547-563</t>
  </si>
  <si>
    <t>563-579</t>
  </si>
  <si>
    <t>579-595</t>
  </si>
  <si>
    <t>595-612</t>
  </si>
  <si>
    <t>612-628</t>
  </si>
  <si>
    <t>628-644</t>
  </si>
  <si>
    <t>KMS</t>
  </si>
  <si>
    <t>Hours</t>
  </si>
  <si>
    <t>PH</t>
  </si>
  <si>
    <t>Sick Leave/PHNW</t>
  </si>
  <si>
    <t>5003/1010</t>
  </si>
  <si>
    <t>SL/PHNW</t>
  </si>
  <si>
    <t>AL</t>
  </si>
  <si>
    <t>before midnight</t>
  </si>
  <si>
    <t>after midnight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</si>
</sst>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-F400]h:mm:ss\ AM/PM"/>
    <numFmt numFmtId="167" formatCode="d/mm/yy;@"/>
    <numFmt numFmtId="168" formatCode="_-[$$-C09]* #,##0.00_-;\-[$$-C09]* #,##0.00_-;_-[$$-C09]* &quot;-&quot;??_-;_-@_-"/>
    <numFmt numFmtId="169" formatCode="h:mm:ss;@"/>
    <numFmt numFmtId="170" formatCode="_-* #,##0_-;\-* #,##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14"/>
      <name val="Arial"/>
    </font>
    <font>
      <i/>
      <sz val="16"/>
      <name val="Arial"/>
    </font>
    <font>
      <b/>
      <sz val="11"/>
      <name val="Arial"/>
    </font>
    <font>
      <b/>
      <sz val="12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name val="Arial"/>
    </font>
    <font>
      <b/>
      <sz val="10"/>
      <color theme="0"/>
      <name val="Arial"/>
    </font>
    <font>
      <sz val="10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6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80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2" fillId="2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36">
    <xf numFmtId="0" fontId="0" fillId="0" borderId="0" xfId="0"/>
    <xf numFmtId="0" fontId="3" fillId="0" borderId="5" xfId="2" applyFont="1" applyFill="1" applyBorder="1" applyAlignment="1" applyProtection="1">
      <alignment horizontal="center" vertical="center" wrapText="1"/>
    </xf>
    <xf numFmtId="166" fontId="3" fillId="0" borderId="5" xfId="2" applyNumberFormat="1" applyFont="1" applyFill="1" applyBorder="1" applyAlignment="1" applyProtection="1">
      <alignment horizontal="center" vertical="center" wrapText="1"/>
    </xf>
    <xf numFmtId="0" fontId="3" fillId="0" borderId="6" xfId="2" applyFont="1" applyFill="1" applyBorder="1" applyAlignment="1" applyProtection="1">
      <alignment horizontal="center" vertical="center" wrapText="1"/>
    </xf>
    <xf numFmtId="167" fontId="3" fillId="3" borderId="7" xfId="2" applyNumberFormat="1" applyFont="1" applyFill="1" applyBorder="1" applyAlignment="1" applyProtection="1">
      <alignment horizontal="center" vertical="center" wrapText="1"/>
    </xf>
    <xf numFmtId="14" fontId="3" fillId="3" borderId="8" xfId="2" applyNumberFormat="1" applyFont="1" applyFill="1" applyBorder="1" applyAlignment="1" applyProtection="1">
      <alignment horizontal="center" vertical="center" wrapText="1"/>
    </xf>
    <xf numFmtId="20" fontId="3" fillId="3" borderId="7" xfId="3" applyNumberFormat="1" applyFont="1" applyFill="1" applyBorder="1" applyAlignment="1" applyProtection="1">
      <alignment horizontal="center" vertical="center" wrapText="1"/>
      <protection locked="0"/>
    </xf>
    <xf numFmtId="43" fontId="3" fillId="3" borderId="8" xfId="3" applyNumberFormat="1" applyFont="1" applyFill="1" applyBorder="1" applyAlignment="1" applyProtection="1">
      <alignment horizontal="center" vertical="center" wrapText="1"/>
    </xf>
    <xf numFmtId="43" fontId="3" fillId="3" borderId="7" xfId="3" applyNumberFormat="1" applyFont="1" applyFill="1" applyBorder="1" applyAlignment="1" applyProtection="1">
      <alignment horizontal="center" vertical="center" wrapText="1"/>
    </xf>
    <xf numFmtId="43" fontId="3" fillId="3" borderId="7" xfId="3" applyNumberFormat="1" applyFont="1" applyFill="1" applyBorder="1" applyAlignment="1" applyProtection="1">
      <alignment horizontal="center" vertical="center" wrapText="1"/>
      <protection locked="0"/>
    </xf>
    <xf numFmtId="165" fontId="3" fillId="3" borderId="7" xfId="1" applyFont="1" applyFill="1" applyBorder="1" applyAlignment="1" applyProtection="1">
      <alignment horizontal="center" vertical="center" wrapText="1"/>
    </xf>
    <xf numFmtId="20" fontId="3" fillId="3" borderId="7" xfId="3" applyNumberFormat="1" applyFont="1" applyFill="1" applyBorder="1" applyAlignment="1" applyProtection="1">
      <alignment horizontal="center" vertical="center" wrapText="1"/>
    </xf>
    <xf numFmtId="167" fontId="3" fillId="4" borderId="7" xfId="2" applyNumberFormat="1" applyFont="1" applyFill="1" applyBorder="1" applyAlignment="1" applyProtection="1">
      <alignment horizontal="center" vertical="center" wrapText="1"/>
    </xf>
    <xf numFmtId="14" fontId="3" fillId="4" borderId="8" xfId="2" applyNumberFormat="1" applyFont="1" applyFill="1" applyBorder="1" applyAlignment="1" applyProtection="1">
      <alignment horizontal="center" vertical="center" wrapText="1"/>
    </xf>
    <xf numFmtId="20" fontId="3" fillId="0" borderId="7" xfId="3" applyNumberFormat="1" applyFont="1" applyFill="1" applyBorder="1" applyAlignment="1" applyProtection="1">
      <alignment horizontal="center" vertical="center" wrapText="1"/>
      <protection locked="0"/>
    </xf>
    <xf numFmtId="43" fontId="3" fillId="0" borderId="8" xfId="3" applyNumberFormat="1" applyFont="1" applyFill="1" applyBorder="1" applyAlignment="1" applyProtection="1">
      <alignment horizontal="center" vertical="center" wrapText="1"/>
    </xf>
    <xf numFmtId="43" fontId="3" fillId="0" borderId="8" xfId="3" applyNumberFormat="1" applyFont="1" applyFill="1" applyBorder="1" applyAlignment="1" applyProtection="1">
      <alignment horizontal="center" vertical="center" wrapText="1"/>
      <protection locked="0"/>
    </xf>
    <xf numFmtId="165" fontId="3" fillId="0" borderId="8" xfId="1" applyFont="1" applyFill="1" applyBorder="1" applyAlignment="1" applyProtection="1">
      <alignment horizontal="center" vertical="center" wrapText="1"/>
    </xf>
    <xf numFmtId="2" fontId="3" fillId="0" borderId="7" xfId="3" applyNumberFormat="1" applyFont="1" applyFill="1" applyBorder="1" applyAlignment="1" applyProtection="1">
      <alignment horizontal="center" vertical="center" wrapText="1"/>
    </xf>
    <xf numFmtId="20" fontId="3" fillId="0" borderId="7" xfId="3" applyNumberFormat="1" applyFont="1" applyFill="1" applyBorder="1" applyAlignment="1" applyProtection="1">
      <alignment horizontal="center" vertical="center" wrapText="1"/>
    </xf>
    <xf numFmtId="167" fontId="3" fillId="5" borderId="7" xfId="2" applyNumberFormat="1" applyFont="1" applyFill="1" applyBorder="1" applyAlignment="1" applyProtection="1">
      <alignment horizontal="center" vertical="center" wrapText="1"/>
    </xf>
    <xf numFmtId="14" fontId="3" fillId="5" borderId="8" xfId="2" applyNumberFormat="1" applyFont="1" applyFill="1" applyBorder="1" applyAlignment="1" applyProtection="1">
      <alignment horizontal="center" vertical="center" wrapText="1"/>
    </xf>
    <xf numFmtId="20" fontId="3" fillId="5" borderId="7" xfId="3" applyNumberFormat="1" applyFont="1" applyFill="1" applyBorder="1" applyAlignment="1" applyProtection="1">
      <alignment horizontal="center" vertical="center" wrapText="1"/>
      <protection locked="0"/>
    </xf>
    <xf numFmtId="43" fontId="3" fillId="5" borderId="8" xfId="3" applyNumberFormat="1" applyFont="1" applyFill="1" applyBorder="1" applyAlignment="1" applyProtection="1">
      <alignment horizontal="center" vertical="center" wrapText="1"/>
    </xf>
    <xf numFmtId="43" fontId="3" fillId="5" borderId="7" xfId="3" applyNumberFormat="1" applyFont="1" applyFill="1" applyBorder="1" applyAlignment="1" applyProtection="1">
      <alignment horizontal="center" vertical="center" wrapText="1"/>
    </xf>
    <xf numFmtId="43" fontId="3" fillId="5" borderId="7" xfId="3" applyNumberFormat="1" applyFont="1" applyFill="1" applyBorder="1" applyAlignment="1" applyProtection="1">
      <alignment horizontal="center" vertical="center" wrapText="1"/>
      <protection locked="0"/>
    </xf>
    <xf numFmtId="165" fontId="3" fillId="5" borderId="7" xfId="1" applyFont="1" applyFill="1" applyBorder="1" applyAlignment="1" applyProtection="1">
      <alignment horizontal="center" vertical="center" wrapText="1"/>
    </xf>
    <xf numFmtId="20" fontId="3" fillId="5" borderId="7" xfId="3" applyNumberFormat="1" applyFont="1" applyFill="1" applyBorder="1" applyAlignment="1" applyProtection="1">
      <alignment horizontal="center" vertical="center" wrapText="1"/>
    </xf>
    <xf numFmtId="14" fontId="3" fillId="5" borderId="9" xfId="2" applyNumberFormat="1" applyFont="1" applyFill="1" applyBorder="1" applyAlignment="1" applyProtection="1">
      <alignment horizontal="center" vertical="center" wrapText="1"/>
    </xf>
    <xf numFmtId="43" fontId="3" fillId="5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5" borderId="10" xfId="1" applyNumberFormat="1" applyFont="1" applyFill="1" applyBorder="1" applyAlignment="1" applyProtection="1">
      <alignment horizontal="center" vertical="center" wrapText="1"/>
    </xf>
    <xf numFmtId="43" fontId="3" fillId="5" borderId="9" xfId="3" applyNumberFormat="1" applyFont="1" applyFill="1" applyBorder="1" applyAlignment="1" applyProtection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165" fontId="3" fillId="0" borderId="4" xfId="2" applyNumberFormat="1" applyFont="1" applyFill="1" applyBorder="1" applyAlignment="1" applyProtection="1">
      <alignment horizontal="center" vertical="center" wrapText="1"/>
    </xf>
    <xf numFmtId="0" fontId="3" fillId="0" borderId="6" xfId="2" applyFont="1" applyFill="1" applyBorder="1" applyAlignment="1" applyProtection="1">
      <alignment vertical="center" wrapText="1"/>
    </xf>
    <xf numFmtId="165" fontId="3" fillId="0" borderId="6" xfId="2" applyNumberFormat="1" applyFont="1" applyFill="1" applyBorder="1" applyAlignment="1" applyProtection="1">
      <alignment horizontal="center" vertical="center" wrapText="1"/>
    </xf>
    <xf numFmtId="43" fontId="3" fillId="0" borderId="6" xfId="2" applyNumberFormat="1" applyFont="1" applyFill="1" applyBorder="1" applyAlignment="1" applyProtection="1">
      <alignment horizontal="center" vertical="center" wrapText="1"/>
    </xf>
    <xf numFmtId="43" fontId="3" fillId="0" borderId="13" xfId="2" applyNumberFormat="1" applyFont="1" applyFill="1" applyBorder="1" applyAlignment="1" applyProtection="1">
      <alignment horizontal="center" vertical="center" wrapText="1"/>
    </xf>
    <xf numFmtId="0" fontId="3" fillId="0" borderId="0" xfId="2" applyFont="1" applyAlignment="1">
      <alignment vertical="center" wrapText="1"/>
    </xf>
    <xf numFmtId="0" fontId="3" fillId="0" borderId="0" xfId="2" applyFont="1" applyFill="1" applyBorder="1" applyAlignment="1" applyProtection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166" fontId="6" fillId="7" borderId="14" xfId="2" applyNumberFormat="1" applyFont="1" applyFill="1" applyBorder="1" applyAlignment="1">
      <alignment horizontal="center" vertical="center" wrapText="1"/>
    </xf>
    <xf numFmtId="0" fontId="6" fillId="7" borderId="18" xfId="2" applyFont="1" applyFill="1" applyBorder="1" applyAlignment="1">
      <alignment horizontal="center" vertical="center" wrapText="1"/>
    </xf>
    <xf numFmtId="0" fontId="6" fillId="7" borderId="19" xfId="2" applyFont="1" applyFill="1" applyBorder="1" applyAlignment="1">
      <alignment horizontal="center" vertical="center" wrapText="1"/>
    </xf>
    <xf numFmtId="0" fontId="2" fillId="0" borderId="0" xfId="2" applyFont="1" applyFill="1" applyAlignment="1">
      <alignment horizontal="center" vertical="center" wrapText="1"/>
    </xf>
    <xf numFmtId="0" fontId="6" fillId="0" borderId="20" xfId="2" applyNumberFormat="1" applyFont="1" applyBorder="1" applyAlignment="1">
      <alignment horizontal="center" vertical="center" wrapText="1"/>
    </xf>
    <xf numFmtId="168" fontId="6" fillId="0" borderId="21" xfId="1" applyNumberFormat="1" applyFont="1" applyBorder="1" applyAlignment="1">
      <alignment horizontal="center" vertical="center" wrapText="1"/>
    </xf>
    <xf numFmtId="168" fontId="6" fillId="0" borderId="22" xfId="1" applyNumberFormat="1" applyFont="1" applyBorder="1" applyAlignment="1" applyProtection="1">
      <alignment horizontal="center" vertical="center" wrapText="1"/>
    </xf>
    <xf numFmtId="0" fontId="6" fillId="0" borderId="23" xfId="2" applyNumberFormat="1" applyFont="1" applyBorder="1" applyAlignment="1">
      <alignment horizontal="center" vertical="center" wrapText="1"/>
    </xf>
    <xf numFmtId="168" fontId="6" fillId="0" borderId="24" xfId="1" applyNumberFormat="1" applyFont="1" applyBorder="1" applyAlignment="1">
      <alignment horizontal="center" vertical="center" wrapText="1"/>
    </xf>
    <xf numFmtId="168" fontId="6" fillId="0" borderId="25" xfId="1" applyNumberFormat="1" applyFont="1" applyBorder="1" applyAlignment="1" applyProtection="1">
      <alignment horizontal="center" vertical="center" wrapText="1"/>
    </xf>
    <xf numFmtId="0" fontId="6" fillId="0" borderId="26" xfId="2" applyNumberFormat="1" applyFont="1" applyBorder="1" applyAlignment="1">
      <alignment horizontal="center" vertical="center" wrapText="1"/>
    </xf>
    <xf numFmtId="168" fontId="6" fillId="0" borderId="28" xfId="1" applyNumberFormat="1" applyFont="1" applyBorder="1" applyAlignment="1" applyProtection="1">
      <alignment horizontal="center" vertical="center" wrapText="1"/>
    </xf>
    <xf numFmtId="168" fontId="6" fillId="0" borderId="27" xfId="1" applyNumberFormat="1" applyFont="1" applyBorder="1" applyAlignment="1">
      <alignment horizontal="center" vertical="center" wrapText="1"/>
    </xf>
    <xf numFmtId="165" fontId="2" fillId="0" borderId="0" xfId="1" applyFont="1" applyFill="1" applyAlignment="1">
      <alignment horizontal="center" vertical="center" wrapText="1"/>
    </xf>
    <xf numFmtId="168" fontId="2" fillId="0" borderId="0" xfId="2" applyNumberFormat="1" applyFont="1" applyAlignment="1">
      <alignment horizontal="center" vertical="center" wrapText="1"/>
    </xf>
    <xf numFmtId="0" fontId="6" fillId="0" borderId="32" xfId="2" applyNumberFormat="1" applyFont="1" applyBorder="1" applyAlignment="1" applyProtection="1">
      <alignment horizontal="center" vertical="center" wrapText="1"/>
    </xf>
    <xf numFmtId="0" fontId="6" fillId="0" borderId="33" xfId="2" applyNumberFormat="1" applyFont="1" applyBorder="1" applyAlignment="1" applyProtection="1">
      <alignment horizontal="center" vertical="center" wrapText="1"/>
    </xf>
    <xf numFmtId="168" fontId="6" fillId="0" borderId="36" xfId="1" applyNumberFormat="1" applyFont="1" applyBorder="1" applyAlignment="1" applyProtection="1">
      <alignment horizontal="center" vertical="center" wrapText="1"/>
    </xf>
    <xf numFmtId="0" fontId="3" fillId="0" borderId="0" xfId="1" applyNumberFormat="1" applyFont="1" applyBorder="1" applyAlignment="1">
      <alignment horizontal="center" vertical="center" wrapText="1"/>
    </xf>
    <xf numFmtId="0" fontId="5" fillId="0" borderId="0" xfId="2" applyFont="1" applyBorder="1" applyAlignment="1" applyProtection="1">
      <alignment horizontal="center" vertical="center"/>
    </xf>
    <xf numFmtId="165" fontId="2" fillId="0" borderId="0" xfId="1" applyFont="1" applyAlignment="1">
      <alignment horizontal="center" vertical="center" wrapText="1"/>
    </xf>
    <xf numFmtId="0" fontId="3" fillId="0" borderId="8" xfId="3" applyNumberFormat="1" applyFont="1" applyFill="1" applyBorder="1" applyAlignment="1" applyProtection="1">
      <alignment horizontal="center" vertical="center" wrapText="1"/>
      <protection locked="0"/>
    </xf>
    <xf numFmtId="0" fontId="3" fillId="3" borderId="7" xfId="3" applyNumberFormat="1" applyFont="1" applyFill="1" applyBorder="1" applyAlignment="1" applyProtection="1">
      <alignment horizontal="center" vertical="center" wrapText="1"/>
      <protection locked="0"/>
    </xf>
    <xf numFmtId="0" fontId="3" fillId="0" borderId="8" xfId="1" applyNumberFormat="1" applyFont="1" applyFill="1" applyBorder="1" applyAlignment="1" applyProtection="1">
      <alignment horizontal="center" vertical="center" wrapText="1"/>
      <protection locked="0"/>
    </xf>
    <xf numFmtId="0" fontId="3" fillId="5" borderId="7" xfId="3" applyNumberFormat="1" applyFont="1" applyFill="1" applyBorder="1" applyAlignment="1" applyProtection="1">
      <alignment horizontal="center" vertical="center" wrapText="1"/>
      <protection locked="0"/>
    </xf>
    <xf numFmtId="0" fontId="3" fillId="5" borderId="10" xfId="3" applyNumberFormat="1" applyFont="1" applyFill="1" applyBorder="1" applyAlignment="1" applyProtection="1">
      <alignment horizontal="center" vertical="center" wrapText="1"/>
      <protection locked="0"/>
    </xf>
    <xf numFmtId="14" fontId="4" fillId="0" borderId="4" xfId="2" applyNumberFormat="1" applyFont="1" applyFill="1" applyBorder="1" applyAlignment="1" applyProtection="1">
      <alignment vertical="center" wrapText="1"/>
    </xf>
    <xf numFmtId="0" fontId="2" fillId="0" borderId="4" xfId="2" applyFont="1" applyBorder="1" applyAlignment="1">
      <alignment horizontal="center" vertical="center" wrapText="1"/>
    </xf>
    <xf numFmtId="14" fontId="4" fillId="0" borderId="3" xfId="2" applyNumberFormat="1" applyFont="1" applyFill="1" applyBorder="1" applyAlignment="1" applyProtection="1">
      <alignment vertical="center" wrapText="1"/>
    </xf>
    <xf numFmtId="0" fontId="2" fillId="0" borderId="0" xfId="2" applyFont="1" applyBorder="1" applyAlignment="1">
      <alignment horizontal="center" vertical="center" wrapText="1"/>
    </xf>
    <xf numFmtId="165" fontId="2" fillId="0" borderId="0" xfId="2" applyNumberFormat="1" applyFont="1" applyAlignment="1">
      <alignment horizontal="center" vertical="center" wrapText="1"/>
    </xf>
    <xf numFmtId="20" fontId="2" fillId="0" borderId="0" xfId="2" applyNumberFormat="1" applyFont="1" applyAlignment="1">
      <alignment horizontal="center" vertical="center" wrapText="1"/>
    </xf>
    <xf numFmtId="168" fontId="2" fillId="0" borderId="0" xfId="2" applyNumberFormat="1" applyFont="1" applyBorder="1" applyAlignment="1">
      <alignment horizontal="center" vertical="center" wrapText="1"/>
    </xf>
    <xf numFmtId="164" fontId="2" fillId="0" borderId="0" xfId="2" applyNumberFormat="1" applyFont="1" applyAlignment="1">
      <alignment horizontal="center" vertical="center" wrapText="1"/>
    </xf>
    <xf numFmtId="166" fontId="2" fillId="0" borderId="0" xfId="2" applyNumberFormat="1" applyFont="1" applyFill="1" applyAlignment="1">
      <alignment horizontal="center" vertical="center" wrapText="1"/>
    </xf>
    <xf numFmtId="168" fontId="6" fillId="0" borderId="25" xfId="1" applyNumberFormat="1" applyFont="1" applyBorder="1" applyAlignment="1" applyProtection="1">
      <alignment horizontal="center" vertical="center" wrapText="1"/>
      <protection locked="0"/>
    </xf>
    <xf numFmtId="168" fontId="6" fillId="0" borderId="28" xfId="1" applyNumberFormat="1" applyFont="1" applyBorder="1" applyAlignment="1" applyProtection="1">
      <alignment horizontal="center" vertical="center" wrapText="1"/>
      <protection locked="0"/>
    </xf>
    <xf numFmtId="166" fontId="2" fillId="0" borderId="0" xfId="2" applyNumberFormat="1" applyFont="1" applyFill="1" applyAlignment="1" applyProtection="1">
      <alignment horizontal="center" vertical="center" wrapText="1"/>
    </xf>
    <xf numFmtId="0" fontId="2" fillId="0" borderId="0" xfId="2" applyFont="1" applyFill="1" applyAlignment="1">
      <alignment vertical="center" wrapText="1"/>
    </xf>
    <xf numFmtId="168" fontId="2" fillId="0" borderId="0" xfId="0" applyNumberFormat="1" applyFont="1" applyFill="1" applyAlignment="1">
      <alignment horizontal="center"/>
    </xf>
    <xf numFmtId="166" fontId="2" fillId="0" borderId="0" xfId="2" applyNumberFormat="1" applyFont="1" applyAlignment="1">
      <alignment horizontal="center" vertical="center" wrapText="1"/>
    </xf>
    <xf numFmtId="43" fontId="3" fillId="0" borderId="0" xfId="2" applyNumberFormat="1" applyFont="1" applyFill="1" applyBorder="1" applyAlignment="1" applyProtection="1">
      <alignment horizontal="center" vertical="center" wrapText="1"/>
    </xf>
    <xf numFmtId="2" fontId="3" fillId="0" borderId="6" xfId="2" applyNumberFormat="1" applyFont="1" applyFill="1" applyBorder="1" applyAlignment="1" applyProtection="1">
      <alignment vertical="center" wrapText="1"/>
    </xf>
    <xf numFmtId="168" fontId="3" fillId="0" borderId="0" xfId="1" applyNumberFormat="1" applyFont="1" applyBorder="1" applyAlignment="1">
      <alignment horizontal="center" vertical="center" wrapText="1"/>
    </xf>
    <xf numFmtId="170" fontId="3" fillId="0" borderId="6" xfId="2" applyNumberFormat="1" applyFont="1" applyFill="1" applyBorder="1" applyAlignment="1" applyProtection="1">
      <alignment horizontal="center" vertical="center" wrapText="1"/>
    </xf>
    <xf numFmtId="2" fontId="0" fillId="0" borderId="0" xfId="1" applyNumberFormat="1" applyFont="1"/>
    <xf numFmtId="170" fontId="3" fillId="0" borderId="0" xfId="2" applyNumberFormat="1" applyFont="1" applyFill="1" applyBorder="1" applyAlignment="1" applyProtection="1">
      <alignment horizontal="center" vertical="center" wrapText="1"/>
    </xf>
    <xf numFmtId="166" fontId="7" fillId="8" borderId="3" xfId="2" applyNumberFormat="1" applyFont="1" applyFill="1" applyBorder="1" applyAlignment="1">
      <alignment horizontal="center" vertical="center"/>
    </xf>
    <xf numFmtId="14" fontId="4" fillId="0" borderId="4" xfId="2" applyNumberFormat="1" applyFont="1" applyFill="1" applyBorder="1" applyAlignment="1" applyProtection="1">
      <alignment horizontal="center" vertical="center" wrapText="1"/>
    </xf>
    <xf numFmtId="14" fontId="4" fillId="0" borderId="4" xfId="2" applyNumberFormat="1" applyFont="1" applyFill="1" applyBorder="1" applyAlignment="1" applyProtection="1">
      <alignment horizontal="center" vertical="center" wrapText="1"/>
    </xf>
    <xf numFmtId="165" fontId="2" fillId="0" borderId="0" xfId="2" applyNumberFormat="1" applyFont="1" applyBorder="1" applyAlignment="1">
      <alignment horizontal="center" vertical="center" wrapText="1"/>
    </xf>
    <xf numFmtId="43" fontId="2" fillId="0" borderId="0" xfId="2" applyNumberFormat="1" applyFont="1" applyAlignment="1">
      <alignment horizontal="center" vertical="center" wrapText="1"/>
    </xf>
    <xf numFmtId="168" fontId="6" fillId="0" borderId="25" xfId="1" quotePrefix="1" applyNumberFormat="1" applyFont="1" applyBorder="1" applyAlignment="1" applyProtection="1">
      <alignment horizontal="center" vertical="center" wrapText="1"/>
    </xf>
    <xf numFmtId="20" fontId="11" fillId="0" borderId="0" xfId="3" applyNumberFormat="1" applyFont="1" applyFill="1" applyBorder="1" applyAlignment="1" applyProtection="1">
      <alignment horizontal="center" vertical="center" wrapText="1"/>
    </xf>
    <xf numFmtId="0" fontId="11" fillId="0" borderId="37" xfId="2" applyFont="1" applyFill="1" applyBorder="1" applyAlignment="1" applyProtection="1">
      <alignment horizontal="center" vertical="center" wrapText="1"/>
    </xf>
    <xf numFmtId="0" fontId="11" fillId="0" borderId="38" xfId="2" applyFont="1" applyFill="1" applyBorder="1" applyAlignment="1" applyProtection="1">
      <alignment horizontal="center" vertical="center" wrapText="1"/>
    </xf>
    <xf numFmtId="0" fontId="11" fillId="0" borderId="39" xfId="2" applyFont="1" applyFill="1" applyBorder="1" applyAlignment="1" applyProtection="1">
      <alignment horizontal="center" vertical="center" wrapText="1"/>
    </xf>
    <xf numFmtId="20" fontId="11" fillId="0" borderId="40" xfId="3" applyNumberFormat="1" applyFont="1" applyFill="1" applyBorder="1" applyAlignment="1" applyProtection="1">
      <alignment horizontal="center" vertical="center" wrapText="1"/>
    </xf>
    <xf numFmtId="169" fontId="11" fillId="0" borderId="41" xfId="3" applyNumberFormat="1" applyFont="1" applyFill="1" applyBorder="1" applyAlignment="1" applyProtection="1">
      <alignment horizontal="center" vertical="center" wrapText="1"/>
    </xf>
    <xf numFmtId="20" fontId="11" fillId="0" borderId="41" xfId="3" applyNumberFormat="1" applyFont="1" applyFill="1" applyBorder="1" applyAlignment="1" applyProtection="1">
      <alignment horizontal="center" vertical="center" wrapText="1"/>
    </xf>
    <xf numFmtId="165" fontId="12" fillId="0" borderId="42" xfId="1" applyFont="1" applyFill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20" fontId="3" fillId="0" borderId="6" xfId="3" applyNumberFormat="1" applyFont="1" applyFill="1" applyBorder="1" applyAlignment="1" applyProtection="1">
      <alignment horizontal="center" vertical="center" wrapText="1"/>
      <protection hidden="1"/>
    </xf>
    <xf numFmtId="166" fontId="6" fillId="0" borderId="24" xfId="2" applyNumberFormat="1" applyFont="1" applyBorder="1" applyAlignment="1">
      <alignment horizontal="center" vertical="center"/>
    </xf>
    <xf numFmtId="0" fontId="4" fillId="0" borderId="2" xfId="2" applyNumberFormat="1" applyFont="1" applyFill="1" applyBorder="1" applyAlignment="1" applyProtection="1">
      <alignment horizontal="center" vertical="center" wrapText="1"/>
    </xf>
    <xf numFmtId="0" fontId="4" fillId="0" borderId="3" xfId="2" applyNumberFormat="1" applyFont="1" applyFill="1" applyBorder="1" applyAlignment="1" applyProtection="1">
      <alignment horizontal="center" vertical="center" wrapText="1"/>
    </xf>
    <xf numFmtId="14" fontId="4" fillId="0" borderId="2" xfId="2" applyNumberFormat="1" applyFont="1" applyFill="1" applyBorder="1" applyAlignment="1" applyProtection="1">
      <alignment horizontal="center" vertical="center" wrapText="1"/>
      <protection locked="0"/>
    </xf>
    <xf numFmtId="14" fontId="4" fillId="0" borderId="4" xfId="2" applyNumberFormat="1" applyFont="1" applyFill="1" applyBorder="1" applyAlignment="1" applyProtection="1">
      <alignment horizontal="center" vertical="center" wrapText="1"/>
      <protection locked="0"/>
    </xf>
    <xf numFmtId="14" fontId="4" fillId="0" borderId="3" xfId="2" applyNumberFormat="1" applyFont="1" applyFill="1" applyBorder="1" applyAlignment="1" applyProtection="1">
      <alignment horizontal="center" vertical="center" wrapText="1"/>
      <protection locked="0"/>
    </xf>
    <xf numFmtId="14" fontId="4" fillId="0" borderId="4" xfId="2" applyNumberFormat="1" applyFont="1" applyFill="1" applyBorder="1" applyAlignment="1" applyProtection="1">
      <alignment horizontal="center" vertical="center" wrapText="1"/>
    </xf>
    <xf numFmtId="0" fontId="3" fillId="0" borderId="11" xfId="2" applyFont="1" applyFill="1" applyBorder="1" applyAlignment="1" applyProtection="1">
      <alignment horizontal="center" vertical="center" wrapText="1"/>
    </xf>
    <xf numFmtId="0" fontId="3" fillId="0" borderId="12" xfId="2" applyFont="1" applyFill="1" applyBorder="1" applyAlignment="1" applyProtection="1">
      <alignment horizontal="center" vertical="center" wrapText="1"/>
    </xf>
    <xf numFmtId="0" fontId="3" fillId="0" borderId="13" xfId="2" applyFont="1" applyFill="1" applyBorder="1" applyAlignment="1" applyProtection="1">
      <alignment horizontal="center" vertical="center" wrapText="1"/>
    </xf>
    <xf numFmtId="0" fontId="5" fillId="0" borderId="2" xfId="2" applyFont="1" applyBorder="1" applyAlignment="1" applyProtection="1">
      <alignment horizontal="center" vertical="center"/>
    </xf>
    <xf numFmtId="0" fontId="5" fillId="0" borderId="4" xfId="2" applyFont="1" applyBorder="1" applyAlignment="1" applyProtection="1">
      <alignment horizontal="center" vertical="center"/>
    </xf>
    <xf numFmtId="0" fontId="5" fillId="0" borderId="3" xfId="2" applyFont="1" applyBorder="1" applyAlignment="1" applyProtection="1">
      <alignment horizontal="center" vertical="center"/>
    </xf>
    <xf numFmtId="0" fontId="10" fillId="6" borderId="2" xfId="2" applyFont="1" applyFill="1" applyBorder="1" applyAlignment="1">
      <alignment horizontal="center" vertical="center" wrapText="1"/>
    </xf>
    <xf numFmtId="0" fontId="10" fillId="6" borderId="4" xfId="2" applyFont="1" applyFill="1" applyBorder="1" applyAlignment="1">
      <alignment horizontal="center" vertical="center" wrapText="1"/>
    </xf>
    <xf numFmtId="0" fontId="10" fillId="6" borderId="3" xfId="2" applyFont="1" applyFill="1" applyBorder="1" applyAlignment="1">
      <alignment horizontal="center" vertical="center" wrapText="1"/>
    </xf>
    <xf numFmtId="166" fontId="6" fillId="7" borderId="15" xfId="2" applyNumberFormat="1" applyFont="1" applyFill="1" applyBorder="1" applyAlignment="1">
      <alignment horizontal="center" vertical="center"/>
    </xf>
    <xf numFmtId="166" fontId="6" fillId="7" borderId="16" xfId="2" applyNumberFormat="1" applyFont="1" applyFill="1" applyBorder="1" applyAlignment="1">
      <alignment horizontal="center" vertical="center"/>
    </xf>
    <xf numFmtId="166" fontId="6" fillId="7" borderId="17" xfId="2" applyNumberFormat="1" applyFont="1" applyFill="1" applyBorder="1" applyAlignment="1">
      <alignment horizontal="center" vertical="center"/>
    </xf>
    <xf numFmtId="166" fontId="6" fillId="0" borderId="21" xfId="2" applyNumberFormat="1" applyFont="1" applyBorder="1" applyAlignment="1">
      <alignment horizontal="center" vertical="center"/>
    </xf>
    <xf numFmtId="166" fontId="6" fillId="0" borderId="27" xfId="2" applyNumberFormat="1" applyFont="1" applyBorder="1" applyAlignment="1">
      <alignment horizontal="center" vertical="center"/>
    </xf>
    <xf numFmtId="166" fontId="7" fillId="8" borderId="2" xfId="2" applyNumberFormat="1" applyFont="1" applyFill="1" applyBorder="1" applyAlignment="1">
      <alignment horizontal="center" vertical="center"/>
    </xf>
    <xf numFmtId="166" fontId="7" fillId="8" borderId="4" xfId="2" applyNumberFormat="1" applyFont="1" applyFill="1" applyBorder="1" applyAlignment="1">
      <alignment horizontal="center" vertical="center"/>
    </xf>
    <xf numFmtId="166" fontId="7" fillId="8" borderId="3" xfId="2" applyNumberFormat="1" applyFont="1" applyFill="1" applyBorder="1" applyAlignment="1">
      <alignment horizontal="center" vertical="center"/>
    </xf>
    <xf numFmtId="0" fontId="3" fillId="0" borderId="34" xfId="2" applyFont="1" applyFill="1" applyBorder="1" applyAlignment="1">
      <alignment horizontal="center" vertical="center" wrapText="1"/>
    </xf>
    <xf numFmtId="0" fontId="3" fillId="0" borderId="35" xfId="2" applyFont="1" applyFill="1" applyBorder="1" applyAlignment="1">
      <alignment horizontal="center" vertical="center" wrapText="1"/>
    </xf>
    <xf numFmtId="166" fontId="6" fillId="0" borderId="29" xfId="2" applyNumberFormat="1" applyFont="1" applyBorder="1" applyAlignment="1">
      <alignment horizontal="center" vertical="center"/>
    </xf>
    <xf numFmtId="166" fontId="6" fillId="0" borderId="30" xfId="2" applyNumberFormat="1" applyFont="1" applyBorder="1" applyAlignment="1">
      <alignment horizontal="center" vertical="center"/>
    </xf>
    <xf numFmtId="166" fontId="6" fillId="0" borderId="31" xfId="2" applyNumberFormat="1" applyFont="1" applyBorder="1" applyAlignment="1">
      <alignment horizontal="center" vertical="center"/>
    </xf>
    <xf numFmtId="14" fontId="4" fillId="0" borderId="2" xfId="2" applyNumberFormat="1" applyFont="1" applyFill="1" applyBorder="1" applyAlignment="1" applyProtection="1">
      <alignment horizontal="center" vertical="center" wrapText="1"/>
    </xf>
    <xf numFmtId="14" fontId="4" fillId="0" borderId="3" xfId="2" applyNumberFormat="1" applyFont="1" applyFill="1" applyBorder="1" applyAlignment="1" applyProtection="1">
      <alignment horizontal="center" vertical="center" wrapText="1"/>
    </xf>
  </cellXfs>
  <cellStyles count="380">
    <cellStyle name="Comma" xfId="1" builtinId="3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Normal" xfId="0" builtinId="0"/>
    <cellStyle name="Normal 2" xfId="2" xr:uid="{00000000-0005-0000-0000-00007A010000}"/>
    <cellStyle name="Note 2" xfId="3" xr:uid="{00000000-0005-0000-0000-00007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haran/Downloads/New%20Time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Employee Time Sheet (2)"/>
      <sheetName val="76 hours timesheet"/>
      <sheetName val="Sheet3"/>
    </sheetNames>
    <sheetDataSet>
      <sheetData sheetId="0">
        <row r="3">
          <cell r="A3" t="str">
            <v>Permanent</v>
          </cell>
        </row>
        <row r="4">
          <cell r="A4" t="str">
            <v>Casual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1" sqref="B11"/>
    </sheetView>
  </sheetViews>
  <sheetFormatPr baseColWidth="10" defaultRowHeight="16" x14ac:dyDescent="0.2"/>
  <cols>
    <col min="2" max="2" width="10.83203125" style="86"/>
  </cols>
  <sheetData>
    <row r="1" spans="1:2" x14ac:dyDescent="0.2">
      <c r="A1" t="s">
        <v>95</v>
      </c>
      <c r="B1" s="86" t="s">
        <v>96</v>
      </c>
    </row>
    <row r="3" spans="1:2" x14ac:dyDescent="0.2">
      <c r="A3" t="s">
        <v>70</v>
      </c>
      <c r="B3" s="86">
        <v>5</v>
      </c>
    </row>
    <row r="4" spans="1:2" x14ac:dyDescent="0.2">
      <c r="A4" t="s">
        <v>71</v>
      </c>
      <c r="B4" s="86">
        <v>6</v>
      </c>
    </row>
    <row r="5" spans="1:2" x14ac:dyDescent="0.2">
      <c r="A5" t="s">
        <v>72</v>
      </c>
      <c r="B5" s="86">
        <v>7</v>
      </c>
    </row>
    <row r="6" spans="1:2" x14ac:dyDescent="0.2">
      <c r="A6" t="s">
        <v>73</v>
      </c>
      <c r="B6" s="86">
        <v>8</v>
      </c>
    </row>
    <row r="7" spans="1:2" x14ac:dyDescent="0.2">
      <c r="A7" t="s">
        <v>74</v>
      </c>
      <c r="B7" s="86">
        <v>9</v>
      </c>
    </row>
    <row r="8" spans="1:2" x14ac:dyDescent="0.2">
      <c r="A8" t="s">
        <v>75</v>
      </c>
      <c r="B8" s="86">
        <v>10</v>
      </c>
    </row>
    <row r="9" spans="1:2" x14ac:dyDescent="0.2">
      <c r="A9" t="s">
        <v>76</v>
      </c>
      <c r="B9" s="86">
        <v>10.5</v>
      </c>
    </row>
    <row r="10" spans="1:2" x14ac:dyDescent="0.2">
      <c r="A10" t="s">
        <v>77</v>
      </c>
      <c r="B10" s="86">
        <v>11</v>
      </c>
    </row>
    <row r="11" spans="1:2" x14ac:dyDescent="0.2">
      <c r="A11" t="s">
        <v>78</v>
      </c>
      <c r="B11" s="86">
        <v>11.5</v>
      </c>
    </row>
    <row r="12" spans="1:2" x14ac:dyDescent="0.2">
      <c r="A12" t="s">
        <v>79</v>
      </c>
      <c r="B12" s="86">
        <v>12</v>
      </c>
    </row>
    <row r="13" spans="1:2" x14ac:dyDescent="0.2">
      <c r="A13" t="s">
        <v>80</v>
      </c>
      <c r="B13" s="86">
        <v>12.5</v>
      </c>
    </row>
    <row r="14" spans="1:2" x14ac:dyDescent="0.2">
      <c r="A14" t="s">
        <v>81</v>
      </c>
      <c r="B14" s="86">
        <v>13</v>
      </c>
    </row>
    <row r="15" spans="1:2" x14ac:dyDescent="0.2">
      <c r="A15" t="s">
        <v>82</v>
      </c>
      <c r="B15" s="86">
        <v>13.5</v>
      </c>
    </row>
    <row r="16" spans="1:2" x14ac:dyDescent="0.2">
      <c r="A16" t="s">
        <v>83</v>
      </c>
      <c r="B16" s="86">
        <v>14</v>
      </c>
    </row>
    <row r="17" spans="1:2" x14ac:dyDescent="0.2">
      <c r="A17" t="s">
        <v>84</v>
      </c>
      <c r="B17" s="86">
        <v>14.5</v>
      </c>
    </row>
    <row r="18" spans="1:2" x14ac:dyDescent="0.2">
      <c r="A18" t="s">
        <v>85</v>
      </c>
      <c r="B18" s="86">
        <v>15</v>
      </c>
    </row>
    <row r="19" spans="1:2" x14ac:dyDescent="0.2">
      <c r="A19" t="s">
        <v>86</v>
      </c>
      <c r="B19" s="86">
        <v>15.5</v>
      </c>
    </row>
    <row r="20" spans="1:2" x14ac:dyDescent="0.2">
      <c r="A20" t="s">
        <v>87</v>
      </c>
      <c r="B20" s="86">
        <v>16</v>
      </c>
    </row>
    <row r="21" spans="1:2" x14ac:dyDescent="0.2">
      <c r="A21" t="s">
        <v>88</v>
      </c>
      <c r="B21" s="86">
        <v>16.5</v>
      </c>
    </row>
    <row r="22" spans="1:2" x14ac:dyDescent="0.2">
      <c r="A22" t="s">
        <v>89</v>
      </c>
      <c r="B22" s="86">
        <v>17</v>
      </c>
    </row>
    <row r="23" spans="1:2" x14ac:dyDescent="0.2">
      <c r="A23" t="s">
        <v>90</v>
      </c>
      <c r="B23" s="86">
        <v>17.5</v>
      </c>
    </row>
    <row r="24" spans="1:2" x14ac:dyDescent="0.2">
      <c r="A24" t="s">
        <v>91</v>
      </c>
      <c r="B24" s="86">
        <v>18</v>
      </c>
    </row>
    <row r="25" spans="1:2" x14ac:dyDescent="0.2">
      <c r="A25" t="s">
        <v>92</v>
      </c>
      <c r="B25" s="86">
        <v>18.5</v>
      </c>
    </row>
    <row r="26" spans="1:2" x14ac:dyDescent="0.2">
      <c r="A26" t="s">
        <v>93</v>
      </c>
      <c r="B26" s="86">
        <v>19</v>
      </c>
    </row>
    <row r="27" spans="1:2" x14ac:dyDescent="0.2">
      <c r="A27" t="s">
        <v>94</v>
      </c>
      <c r="B27" s="86">
        <v>19.5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D55"/>
  <sheetViews>
    <sheetView showGridLines="0" showZero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4" sqref="F44"/>
    </sheetView>
  </sheetViews>
  <sheetFormatPr baseColWidth="10" defaultColWidth="8.83203125" defaultRowHeight="13" x14ac:dyDescent="0.2"/>
  <cols>
    <col min="1" max="1" width="11.5" style="79" customWidth="1"/>
    <col min="2" max="4" width="12.33203125" style="79" customWidth="1"/>
    <col min="5" max="5" width="14" style="75" bestFit="1" customWidth="1"/>
    <col min="6" max="6" width="12.33203125" style="81" customWidth="1"/>
    <col min="7" max="7" width="11.33203125" style="81" customWidth="1"/>
    <col min="8" max="8" width="9.5" style="40" customWidth="1"/>
    <col min="9" max="10" width="9.5" style="40" hidden="1" customWidth="1"/>
    <col min="11" max="16" width="9.5" style="40" customWidth="1"/>
    <col min="17" max="17" width="10.83203125" style="40" hidden="1" customWidth="1"/>
    <col min="18" max="18" width="10.6640625" style="40" hidden="1" customWidth="1"/>
    <col min="19" max="19" width="11" style="40" hidden="1" customWidth="1"/>
    <col min="20" max="20" width="11" style="40" customWidth="1"/>
    <col min="21" max="21" width="10.33203125" style="40" hidden="1" customWidth="1"/>
    <col min="22" max="22" width="9" style="40" hidden="1" customWidth="1"/>
    <col min="23" max="23" width="8.83203125" style="40" hidden="1" customWidth="1"/>
    <col min="24" max="24" width="8.83203125" style="40" customWidth="1"/>
    <col min="25" max="25" width="9.1640625" style="40" customWidth="1"/>
    <col min="26" max="27" width="8.83203125" style="40" customWidth="1"/>
    <col min="28" max="28" width="8.83203125" style="40" hidden="1" customWidth="1"/>
    <col min="29" max="29" width="8.83203125" style="40" customWidth="1"/>
    <col min="30" max="16384" width="8.83203125" style="40"/>
  </cols>
  <sheetData>
    <row r="1" spans="1:30" ht="35" customHeight="1" thickBot="1" x14ac:dyDescent="0.25">
      <c r="A1" s="106" t="s">
        <v>0</v>
      </c>
      <c r="B1" s="107"/>
      <c r="C1" s="108">
        <v>44297</v>
      </c>
      <c r="D1" s="109"/>
      <c r="E1" s="110"/>
      <c r="F1" s="134">
        <f>A16</f>
        <v>44310</v>
      </c>
      <c r="G1" s="111"/>
      <c r="H1" s="135"/>
      <c r="I1" s="104">
        <v>1</v>
      </c>
      <c r="J1" s="90"/>
      <c r="K1" s="89"/>
      <c r="L1" s="89"/>
      <c r="M1" s="89"/>
      <c r="N1" s="89"/>
      <c r="O1" s="89"/>
      <c r="P1" s="89"/>
      <c r="Q1" s="67"/>
      <c r="R1" s="67"/>
      <c r="S1" s="68"/>
      <c r="T1" s="68"/>
      <c r="U1" s="68"/>
      <c r="V1" s="67"/>
      <c r="W1" s="67"/>
      <c r="X1" s="67"/>
      <c r="Y1" s="67"/>
      <c r="Z1" s="67"/>
      <c r="AA1" s="69"/>
      <c r="AC1" s="69"/>
    </row>
    <row r="2" spans="1:30" ht="31.5" customHeight="1" thickBot="1" x14ac:dyDescent="0.25">
      <c r="A2" s="1" t="s">
        <v>1</v>
      </c>
      <c r="B2" s="1" t="s">
        <v>2</v>
      </c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  <c r="H2" s="1" t="s">
        <v>8</v>
      </c>
      <c r="I2" s="1" t="s">
        <v>102</v>
      </c>
      <c r="J2" s="1" t="s">
        <v>103</v>
      </c>
      <c r="K2" s="1" t="s">
        <v>48</v>
      </c>
      <c r="L2" s="1" t="s">
        <v>63</v>
      </c>
      <c r="M2" s="1" t="s">
        <v>65</v>
      </c>
      <c r="N2" s="1" t="s">
        <v>97</v>
      </c>
      <c r="O2" s="1" t="s">
        <v>100</v>
      </c>
      <c r="P2" s="1" t="s">
        <v>101</v>
      </c>
      <c r="Q2" s="1" t="s">
        <v>10</v>
      </c>
      <c r="R2" s="1" t="s">
        <v>11</v>
      </c>
      <c r="S2" s="3" t="s">
        <v>12</v>
      </c>
      <c r="T2" s="3" t="s">
        <v>12</v>
      </c>
      <c r="U2" s="1" t="s">
        <v>13</v>
      </c>
      <c r="V2" s="3" t="s">
        <v>14</v>
      </c>
      <c r="W2" s="3" t="s">
        <v>15</v>
      </c>
      <c r="X2" s="3" t="s">
        <v>16</v>
      </c>
      <c r="Y2" s="3" t="s">
        <v>17</v>
      </c>
      <c r="Z2" s="3" t="s">
        <v>18</v>
      </c>
      <c r="AA2" s="3" t="s">
        <v>19</v>
      </c>
      <c r="AB2" s="3" t="s">
        <v>20</v>
      </c>
      <c r="AC2" s="3" t="s">
        <v>21</v>
      </c>
    </row>
    <row r="3" spans="1:30" ht="17" customHeight="1" x14ac:dyDescent="0.2">
      <c r="A3" s="4">
        <f>C1</f>
        <v>44297</v>
      </c>
      <c r="B3" s="5" t="s">
        <v>22</v>
      </c>
      <c r="C3" s="6">
        <v>0.70833333333333337</v>
      </c>
      <c r="D3" s="6">
        <v>9.6527777777777768E-2</v>
      </c>
      <c r="E3" s="7">
        <f>((D3-C3+(C3&gt;D3))*24)</f>
        <v>9.3166666666666664</v>
      </c>
      <c r="F3" s="7"/>
      <c r="G3" s="7"/>
      <c r="H3" s="8">
        <f>IF(OR(M3&gt;0,N3&gt;0),0,IF(W3&gt;8,8,($E3-$T3)))</f>
        <v>8</v>
      </c>
      <c r="I3" s="8">
        <f>IF(G3&lt;F3,($I$1-F3)*24,IF(D3&lt;C3,($I$1-C3)*24,0))</f>
        <v>6.9999999999999991</v>
      </c>
      <c r="J3" s="8">
        <f>IF(M16&gt;0,0,IF(I16&gt;0,IF(F16&gt;0,W16-I16,E16-I16),0))</f>
        <v>0</v>
      </c>
      <c r="K3" s="63" t="s">
        <v>75</v>
      </c>
      <c r="L3" s="63"/>
      <c r="M3" s="8"/>
      <c r="N3" s="9"/>
      <c r="O3" s="9"/>
      <c r="P3" s="9"/>
      <c r="Q3" s="10" t="str">
        <f t="shared" ref="Q3:Q5" si="0">IF(V3&gt;0,R3-V3,R3)</f>
        <v>0</v>
      </c>
      <c r="R3" s="10" t="str">
        <f>IF(F3=0,"0",IF(F3&gt;C3,(24*TEXT(F3-C3,"HH:MM")), (24*TEXT(D3-G3,"HH:MM"))))</f>
        <v>0</v>
      </c>
      <c r="S3" s="7">
        <f>IF(M3&gt;0,0,IF(I3&gt;0,IF(I3&gt;8,(I3-8),0),T3))+IF(AND(I16&gt;0,T16&gt;0),IF(I16&gt;8,(T16-(I16-8)),T16),0)</f>
        <v>0</v>
      </c>
      <c r="T3" s="7">
        <f>IF(M3&gt;0,0,IF($W3&gt;8,$W3-8,(IF(E3&gt;8,E3-8,0))))</f>
        <v>1.3166666666666664</v>
      </c>
      <c r="U3" s="7">
        <f t="shared" ref="U3" si="1">Q3+S3</f>
        <v>0</v>
      </c>
      <c r="V3" s="7">
        <f>IF(AND(F3&gt;0, ((G3-F3+(F3&gt;G3))*24)&lt;8),8- ((G3-F3+(F3&gt;G3))*24),0)</f>
        <v>0</v>
      </c>
      <c r="W3" s="7">
        <f>((G3-F3+(F3&gt;G3))*24)</f>
        <v>0</v>
      </c>
      <c r="X3" s="7"/>
      <c r="Y3" s="7">
        <f>IF(OR(M3&gt;0,L3&gt;0),0,IF(I3&gt;0,IF($F3&gt;0,IF(OR($F3&gt;=$X$24,AND($Z$24&lt;$F3,$F3&lt;$Y$24)),ROUND(8-I3,0),0),IF($C3&gt;0,IF(OR($C3&gt;=$X$24,AND($Z$24&lt;$C3,$C3&lt;$Y$24)),ROUND(8-I3,0),0),0)),0))</f>
        <v>1</v>
      </c>
      <c r="Z3" s="7">
        <f>IF(OR(M3&gt;0,L3&gt;0),0,IF(I3&gt;0,IF($F3&gt;0,IF(OR($F3&gt;=$X$23,AND($Z$23&lt;$F3,$F3&lt;$Y$23)),ROUND(8-I3,0),0),IF($C3&gt;0,IF(OR($C3&gt;=$X$23,AND($Z$23&lt;$C3,$C3&lt;$Y$23)),ROUND(8-I3,0),0),0)),0))</f>
        <v>0</v>
      </c>
      <c r="AA3" s="7">
        <f>IF(OR(L3&gt;0,M3&gt;0),0,IF(I3&gt;0,IF($F3&gt;0,IF(OR(AND($F3&gt;$X$25,$F3&lt;$Y$25),AND($G3&gt;$X$25,$G3&lt;$Y$25)),1,0),IF($C3&gt;0,IF(OR(AND($C3&gt;$X$25,$C3&lt;$Y$25),AND($D3&gt;$X$25,$D3&lt;$Y$25)),1,0),0)),0))</f>
        <v>1</v>
      </c>
      <c r="AB3" s="11">
        <f>IF(F3&gt;0,F3+(8/24),IF(C3&gt;0,C3+(8/24),0))</f>
        <v>1.0416666666666667</v>
      </c>
      <c r="AC3" s="7">
        <f>IF(IF(K3&gt;0,VLOOKUP(K3,Sheet1!$A$3:$B$27,2,FALSE)-E3,0)&gt;0,IF(K3&gt;0,VLOOKUP(K3,Sheet1!$A$3:$B$27,2,FALSE)-E3,0),0)</f>
        <v>0.68333333333333357</v>
      </c>
      <c r="AD3" s="71"/>
    </row>
    <row r="4" spans="1:30" ht="17" customHeight="1" x14ac:dyDescent="0.2">
      <c r="A4" s="12">
        <f>A3+1</f>
        <v>44298</v>
      </c>
      <c r="B4" s="13" t="s">
        <v>23</v>
      </c>
      <c r="C4" s="14"/>
      <c r="D4" s="14"/>
      <c r="E4" s="15">
        <f>((D4-C4+(C4&gt;D4))*24)</f>
        <v>0</v>
      </c>
      <c r="F4" s="15"/>
      <c r="G4" s="15"/>
      <c r="H4" s="15">
        <f>IF(OR(M4&gt;0,N4&gt;0),0,IF(W4&gt;8,8,($E4-$T4)))</f>
        <v>0</v>
      </c>
      <c r="I4" s="15">
        <f>IF(G4&lt;F4,($I$1-F4)*24,IF(D4&lt;C4,($I$1-C4)*24,0))</f>
        <v>0</v>
      </c>
      <c r="J4" s="15">
        <f>IF(I3&gt;0, IF(F3&gt;0, W3-I3, E3-I3),0)</f>
        <v>2.3166666666666673</v>
      </c>
      <c r="K4" s="64"/>
      <c r="L4" s="64"/>
      <c r="M4" s="15"/>
      <c r="N4" s="16"/>
      <c r="O4" s="16"/>
      <c r="P4" s="16"/>
      <c r="Q4" s="17" t="str">
        <f t="shared" si="0"/>
        <v>0</v>
      </c>
      <c r="R4" s="18" t="str">
        <f>IF(F4=0,"0",IF(F4&gt;C4,(24*TEXT(F4-C4,"HH:MM")), (24*TEXT(D4-G4,"HH:MM"))))</f>
        <v>0</v>
      </c>
      <c r="S4" s="15">
        <f>IF(M4&gt;0,0,IF(I4&gt;0,IF(I4&gt;8,(I4-8),0),T4))+IF(AND(I3&gt;0,T3&gt;0),IF(I3&gt;8,(T3-(I3-8)),T3),0)</f>
        <v>1.3166666666666664</v>
      </c>
      <c r="T4" s="15">
        <f>IF(M4&gt;0,0,IF($W4&gt;8,$W4-8,(IF(E4&gt;8,E4-8,0))))</f>
        <v>0</v>
      </c>
      <c r="U4" s="15">
        <f>Q4+T4</f>
        <v>0</v>
      </c>
      <c r="V4" s="15">
        <f>IF(AND(F4&gt;0, ((G4-F4+(F4&gt;G4))*24)&lt;8),8- ((G4-F4+(F4&gt;G4))*24),0)</f>
        <v>0</v>
      </c>
      <c r="W4" s="15">
        <f>((G4-F4+(F4&gt;G4))*24)</f>
        <v>0</v>
      </c>
      <c r="X4" s="15">
        <f>IF(OR(L4&gt;0,M4&gt;0),0,IF($F4&gt;0,IF(AND($F4&gt;=$X$26,$F4&lt;=$Y$26),8,0),IF(AND($C4&gt;=$X$26,$C4&lt;=$Y$26),ROUND(H4,0),0)))</f>
        <v>0</v>
      </c>
      <c r="Y4" s="15">
        <f>IF(OR(M4&gt;0, L4&gt;0),0,IF(OR(AND($C4&gt;$X$24,$C4&lt;$Y$24,OR($D4&gt;$Y$24,D4&gt;=$Z$24)),(AND($F4&gt;$X$24,$F4&lt;$Y$24,OR($G4&gt;$Y$24,G4&gt;=$Z$24)))),ROUND(H4,0),0))</f>
        <v>0</v>
      </c>
      <c r="Z4" s="17">
        <f>IF(OR(M4&gt;0,L4&gt;0),0,IF($F4&gt;0,IF(OR($F4&gt;=$X$23,AND($Z$23&lt;$F4,$F4&lt;$Y$23)),8,0),IF($C4&gt;0,IF(OR($C4&gt;=$X$23,AND($Z$23&lt;$C4,$C4&lt;$Y$23)),ROUND(H4,0),0),0)))</f>
        <v>0</v>
      </c>
      <c r="AA4" s="15">
        <f>IF(OR(L4&gt;0,M4&gt;0),0,IF($F4&gt;0,IF(OR(AND($F4&gt;$X$25,$F4&lt;$Y$25),AND($G4&gt;$X$25,$G4&lt;$Y$25)),1,0),IF($C4&gt;0,IF(OR(AND($C4&gt;$X$25,$C4&lt;$Y$25),AND($D4&gt;$X$25,$D4&lt;$Y$25)),1,0),0)))</f>
        <v>0</v>
      </c>
      <c r="AB4" s="19">
        <f>IF(F4&gt;0,F4+(8/24),IF(C4&gt;0,C4+(8/24),0))</f>
        <v>0</v>
      </c>
      <c r="AC4" s="15">
        <f>IF(IF(K4&gt;0,VLOOKUP(K4,Sheet1!$A$3:$B$27,2,FALSE)-E4,0)&gt;0,IF(K4&gt;0,VLOOKUP(K4,Sheet1!$A$3:$B$27,2,FALSE)-E4,0),0)</f>
        <v>0</v>
      </c>
    </row>
    <row r="5" spans="1:30" ht="17" customHeight="1" x14ac:dyDescent="0.2">
      <c r="A5" s="12">
        <f t="shared" ref="A5:A16" si="2">A4+1</f>
        <v>44299</v>
      </c>
      <c r="B5" s="13" t="s">
        <v>24</v>
      </c>
      <c r="C5" s="14">
        <v>0.71527777777777779</v>
      </c>
      <c r="D5" s="14">
        <v>7.1527777777777787E-2</v>
      </c>
      <c r="E5" s="15">
        <f>((D5-C5+(C5&gt;D5))*24)</f>
        <v>8.5499999999999989</v>
      </c>
      <c r="F5" s="15"/>
      <c r="G5" s="15"/>
      <c r="H5" s="15">
        <f>IF(OR(M5&gt;0,N5&gt;0),0,IF(W5&gt;8,8,($E5-$T5)))</f>
        <v>8</v>
      </c>
      <c r="I5" s="15">
        <f>IF(G5&lt;F5,($I$1-F5)*24,IF(D5&lt;C5,($I$1-C5)*24,0))</f>
        <v>6.833333333333333</v>
      </c>
      <c r="J5" s="15">
        <f>IF(I4&gt;0, IF(F4&gt;0, W4-I4, E4-I4),0)</f>
        <v>0</v>
      </c>
      <c r="K5" s="62"/>
      <c r="L5" s="62"/>
      <c r="M5" s="15"/>
      <c r="N5" s="16"/>
      <c r="O5" s="16"/>
      <c r="P5" s="16"/>
      <c r="Q5" s="17" t="str">
        <f t="shared" si="0"/>
        <v>0</v>
      </c>
      <c r="R5" s="18" t="str">
        <f>IF(F5=0,"0",IF(F5&gt;C5,(24*TEXT(F5-C5,"HH:MM")), (24*TEXT(D5-G5,"HH:MM"))))</f>
        <v>0</v>
      </c>
      <c r="S5" s="15">
        <f t="shared" ref="S5:S15" si="3">IF(M5&gt;0,0,IF(I5&gt;0,IF(I5&gt;8,(I5-8),0),T5))+IF(AND(I4&gt;0,T4&gt;0),IF(I4&gt;8,(T4-(I4-8)),T4),0)</f>
        <v>0</v>
      </c>
      <c r="T5" s="15">
        <f>IF(M5&gt;0,0,IF($W5&gt;8,$W5-8,(IF(E5&gt;8,E5-8,0))))</f>
        <v>0.54999999999999893</v>
      </c>
      <c r="U5" s="15">
        <f t="shared" ref="U5:U8" si="4">Q5+T5</f>
        <v>0.54999999999999893</v>
      </c>
      <c r="V5" s="15">
        <f>IF(AND(F5&gt;0, ((G5-F5+(F5&gt;G5))*24)&lt;8),8- ((G5-F5+(F5&gt;G5))*24),0)</f>
        <v>0</v>
      </c>
      <c r="W5" s="15">
        <f>((G5-F5+(F5&gt;G5))*24)</f>
        <v>0</v>
      </c>
      <c r="X5" s="15">
        <f>IF(OR(L5&gt;0,M5&gt;0),0,IF($F5&gt;0,IF(AND($F5&gt;=$X$26,$F5&lt;=$Y$26),8,0),IF(AND($C5&gt;=$X$26,$C5&lt;=$Y$26),ROUND(H5,0),0)))</f>
        <v>0</v>
      </c>
      <c r="Y5" s="15">
        <f>IF(OR(M5&gt;0, L5&gt;0),0,IF(OR(AND($C5&gt;$X$24,$C5&lt;$Y$24,OR($D5&gt;$Y$24,D5&gt;=$Z$24)),(AND($F5&gt;$X$24,$F5&lt;$Y$24,OR($G5&gt;$Y$24,G5&gt;=$Z$24)))),ROUND(H5,0),0))</f>
        <v>8</v>
      </c>
      <c r="Z5" s="17">
        <f>IF(OR(M5&gt;0,L5&gt;0),0,IF($F5&gt;0,IF(OR($F5&gt;=$X$23,AND($Z$23&lt;$F5,$F5&lt;$Y$23)),8,0),IF($C5&gt;0,IF(OR($C5&gt;=$X$23,AND($Z$23&lt;$C5,$C5&lt;$Y$23)),ROUND(H5,0),0),0)))</f>
        <v>0</v>
      </c>
      <c r="AA5" s="15">
        <f>IF(OR(L5&gt;0,M5&gt;0),0,IF($F5&gt;0,IF(OR(AND($F5&gt;$X$25,$F5&lt;$Y$25),AND($G5&gt;$X$25,$G5&lt;$Y$25)),1,0),IF($C5&gt;0,IF(OR(AND($C5&gt;$X$25,$C5&lt;$Y$25),AND($D5&gt;$X$25,$D5&lt;$Y$25)),1,0),0)))</f>
        <v>1</v>
      </c>
      <c r="AB5" s="19">
        <f>IF(F5&gt;0,F5+(8/24),IF(C5&gt;0,C5+(8/24),0))</f>
        <v>1.0486111111111112</v>
      </c>
      <c r="AC5" s="15">
        <f>IF(IF(K5&gt;0,VLOOKUP(K5,Sheet1!$A$3:$B$27,2,FALSE)-E5,0)&gt;0,IF(K5&gt;0,VLOOKUP(K5,Sheet1!$A$3:$B$27,2,FALSE)-E5,0),0)</f>
        <v>0</v>
      </c>
    </row>
    <row r="6" spans="1:30" ht="17" customHeight="1" x14ac:dyDescent="0.2">
      <c r="A6" s="12">
        <f t="shared" si="2"/>
        <v>44300</v>
      </c>
      <c r="B6" s="13" t="s">
        <v>25</v>
      </c>
      <c r="C6" s="14">
        <v>0.68263888888888891</v>
      </c>
      <c r="D6" s="14">
        <v>2.8472222222222222E-2</v>
      </c>
      <c r="E6" s="15">
        <f t="shared" ref="E6:E16" si="5">((D6-C6+(C6&gt;D6))*24)</f>
        <v>8.3000000000000007</v>
      </c>
      <c r="F6" s="15"/>
      <c r="G6" s="15"/>
      <c r="H6" s="15">
        <f>IF(OR(M6&gt;0,N6&gt;0),0,IF(W6&gt;8,8,($E6-$T6)))</f>
        <v>8</v>
      </c>
      <c r="I6" s="15">
        <f>IF(G6&lt;F6,($I$1-F6)*24,IF(D6&lt;C6,($I$1-C6)*24,0))</f>
        <v>7.6166666666666663</v>
      </c>
      <c r="J6" s="15">
        <f>IF(I5&gt;0, IF(F5&gt;0, W5-I5, E5-I5),0)</f>
        <v>1.7166666666666659</v>
      </c>
      <c r="K6" s="62" t="s">
        <v>74</v>
      </c>
      <c r="L6" s="62"/>
      <c r="M6" s="15"/>
      <c r="N6" s="16"/>
      <c r="O6" s="16"/>
      <c r="P6" s="16"/>
      <c r="Q6" s="18" t="str">
        <f>IF(V6&gt;0,R6-V6,R6)</f>
        <v>0</v>
      </c>
      <c r="R6" s="18" t="str">
        <f>IF(F6=0,"0",IF(F6&gt;C6,(24*TEXT(F6-C6,"HH:MM")), (24*TEXT(D6-G6,"HH:MM"))))</f>
        <v>0</v>
      </c>
      <c r="S6" s="15">
        <f t="shared" si="3"/>
        <v>0.54999999999999893</v>
      </c>
      <c r="T6" s="15">
        <f>IF(M6&gt;0,0,IF($W6&gt;8,$W6-8,(IF(E6&gt;8,E6-8,0))))</f>
        <v>0.30000000000000071</v>
      </c>
      <c r="U6" s="15">
        <f t="shared" si="4"/>
        <v>0.30000000000000071</v>
      </c>
      <c r="V6" s="15">
        <f>IF(AND(F6&gt;0, ((G6-F6+(F6&gt;G6))*24)&lt;8),8- ((G6-F6+(F6&gt;G6))*24),0)</f>
        <v>0</v>
      </c>
      <c r="W6" s="15">
        <f>((G6-F6+(F6&gt;G6))*24)</f>
        <v>0</v>
      </c>
      <c r="X6" s="15">
        <f>IF(OR(L6&gt;0,M6&gt;0),0,IF($F6&gt;0,IF(AND($F6&gt;=$X$26,$F6&lt;=$Y$26),8,0),IF(AND($C6&gt;=$X$26,$C6&lt;=$Y$26),ROUND(H6,0),0)))</f>
        <v>0</v>
      </c>
      <c r="Y6" s="15">
        <f>IF(OR(M6&gt;0, L6&gt;0),0,IF(OR(AND($C6&gt;$X$24,$C6&lt;$Y$24,OR($D6&gt;$Y$24,D6&gt;=$Z$24)),(AND($F6&gt;$X$24,$F6&lt;$Y$24,OR($G6&gt;$Y$24,G6&gt;=$Z$24)))),ROUND(H6,0),0))</f>
        <v>8</v>
      </c>
      <c r="Z6" s="17">
        <f>IF(OR(M6&gt;0,L6&gt;0),0,IF($F6&gt;0,IF(OR($F6&gt;=$X$23,AND($Z$23&lt;$F6,$F6&lt;$Y$23)),8,0),IF($C6&gt;0,IF(OR($C6&gt;=$X$23,AND($Z$23&lt;$C6,$C6&lt;$Y$23)),ROUND(H6,0),0),0)))</f>
        <v>0</v>
      </c>
      <c r="AA6" s="15">
        <f>IF(OR(L6&gt;0,M6&gt;0),0,IF($F6&gt;0,IF(OR(AND($F6&gt;$X$25,$F6&lt;$Y$25),AND($G6&gt;$X$25,$G6&lt;$Y$25)),1,0),IF($C6&gt;0,IF(OR(AND($C6&gt;$X$25,$C6&lt;$Y$25),AND($D6&gt;$X$25,$D6&lt;$Y$25)),1,0),0)))</f>
        <v>0</v>
      </c>
      <c r="AB6" s="19">
        <f>IF(F6&gt;0,F6+(8/24),IF(C6&gt;0,C6+(8/24),0))</f>
        <v>1.0159722222222223</v>
      </c>
      <c r="AC6" s="15">
        <f>IF(IF(K6&gt;0,VLOOKUP(K6,Sheet1!$A$3:$B$27,2,FALSE)-E6,0)&gt;0,IF(K6&gt;0,VLOOKUP(K6,Sheet1!$A$3:$B$27,2,FALSE)-E6,0),0)</f>
        <v>0.69999999999999929</v>
      </c>
    </row>
    <row r="7" spans="1:30" ht="17" customHeight="1" x14ac:dyDescent="0.2">
      <c r="A7" s="12">
        <f t="shared" si="2"/>
        <v>44301</v>
      </c>
      <c r="B7" s="13" t="s">
        <v>26</v>
      </c>
      <c r="C7" s="14">
        <v>0.70208333333333339</v>
      </c>
      <c r="D7" s="14">
        <v>9.0972222222222218E-2</v>
      </c>
      <c r="E7" s="15">
        <f t="shared" si="5"/>
        <v>9.3333333333333321</v>
      </c>
      <c r="F7" s="15"/>
      <c r="G7" s="15"/>
      <c r="H7" s="15">
        <f>IF(OR(M7&gt;0,N7&gt;0),0,IF(W7&gt;8,8,($E7-$T7)))</f>
        <v>8</v>
      </c>
      <c r="I7" s="15">
        <f>IF(G7&lt;F7,($I$1-F7)*24,IF(D7&lt;C7,($I$1-C7)*24,0))</f>
        <v>7.1499999999999986</v>
      </c>
      <c r="J7" s="15">
        <f>IF(I6&gt;0, IF(F6&gt;0, W6-I6, E6-I6),0)</f>
        <v>0.68333333333333446</v>
      </c>
      <c r="K7" s="62"/>
      <c r="L7" s="62"/>
      <c r="M7" s="15"/>
      <c r="N7" s="16"/>
      <c r="O7" s="16"/>
      <c r="P7" s="16"/>
      <c r="Q7" s="17" t="str">
        <f t="shared" ref="Q7:Q16" si="6">IF(V7&gt;0,R7-V7,R7)</f>
        <v>0</v>
      </c>
      <c r="R7" s="18" t="str">
        <f>IF(F7=0,"0",IF(F7&gt;C7,(24*TEXT(F7-C7,"HH:MM")), (24*TEXT(D7-G7,"HH:MM"))))</f>
        <v>0</v>
      </c>
      <c r="S7" s="15">
        <f t="shared" si="3"/>
        <v>0.30000000000000071</v>
      </c>
      <c r="T7" s="15">
        <f>IF(M7&gt;0,0,IF($W7&gt;8,$W7-8,(IF(E7&gt;8,E7-8,0))))</f>
        <v>1.3333333333333321</v>
      </c>
      <c r="U7" s="15">
        <f t="shared" si="4"/>
        <v>1.3333333333333321</v>
      </c>
      <c r="V7" s="15">
        <f>IF(AND(F7&gt;0, ((G7-F7+(F7&gt;G7))*24)&lt;8),8- ((G7-F7+(F7&gt;G7))*24),0)</f>
        <v>0</v>
      </c>
      <c r="W7" s="15">
        <f>((G7-F7+(F7&gt;G7))*24)</f>
        <v>0</v>
      </c>
      <c r="X7" s="15">
        <f>IF(OR(L7&gt;0,M7&gt;0),0,IF($F7&gt;0,IF(AND($F7&gt;=$X$26,$F7&lt;=$Y$26),8,0),IF(AND($C7&gt;=$X$26,$C7&lt;=$Y$26),ROUND(H7,0),0)))</f>
        <v>0</v>
      </c>
      <c r="Y7" s="15">
        <f>IF(OR(M7&gt;0, L7&gt;0),0,IF(OR(AND($C7&gt;$X$24,$C7&lt;$Y$24,OR($D7&gt;$Y$24,D7&gt;=$Z$24)),(AND($F7&gt;$X$24,$F7&lt;$Y$24,OR($G7&gt;$Y$24,G7&gt;=$Z$24)))),ROUND(H7,0),0))</f>
        <v>8</v>
      </c>
      <c r="Z7" s="17">
        <f>IF(OR(M7&gt;0,L7&gt;0),0,IF($F7&gt;0,IF(OR($F7&gt;=$X$23,AND($Z$23&lt;$F7,$F7&lt;$Y$23)),8,0),IF($C7&gt;0,IF(OR($C7&gt;=$X$23,AND($Z$23&lt;$C7,$C7&lt;$Y$23)),ROUND(H7,0),0),0)))</f>
        <v>0</v>
      </c>
      <c r="AA7" s="15">
        <f>IF(OR(L7&gt;0,M7&gt;0),0,IF($F7&gt;0,IF(OR(AND($F7&gt;$X$25,$F7&lt;$Y$25),AND($G7&gt;$X$25,$G7&lt;$Y$25)),1,0),IF($C7&gt;0,IF(OR(AND($C7&gt;$X$25,$C7&lt;$Y$25),AND($D7&gt;$X$25,$D7&lt;$Y$25)),1,0),0)))</f>
        <v>1</v>
      </c>
      <c r="AB7" s="19">
        <f>IF(F7&gt;0,F7+(8/24),IF(C7&gt;0,C7+(8/24),0))</f>
        <v>1.0354166666666667</v>
      </c>
      <c r="AC7" s="15">
        <f>IF(IF(K7&gt;0,VLOOKUP(K7,Sheet1!$A$3:$B$27,2,FALSE)-E7,0)&gt;0,IF(K7&gt;0,VLOOKUP(K7,Sheet1!$A$3:$B$27,2,FALSE)-E7,0),0)</f>
        <v>0</v>
      </c>
    </row>
    <row r="8" spans="1:30" ht="17" customHeight="1" x14ac:dyDescent="0.2">
      <c r="A8" s="12">
        <f t="shared" si="2"/>
        <v>44302</v>
      </c>
      <c r="B8" s="13" t="s">
        <v>27</v>
      </c>
      <c r="C8" s="14">
        <v>0.86597222222222225</v>
      </c>
      <c r="D8" s="14">
        <v>0.22847222222222222</v>
      </c>
      <c r="E8" s="15">
        <f t="shared" si="5"/>
        <v>8.6999999999999993</v>
      </c>
      <c r="F8" s="15"/>
      <c r="G8" s="15"/>
      <c r="H8" s="15">
        <f>IF(OR(M8&gt;0,N8&gt;0),0,IF(W8&gt;8,8,($E8-$T8)))</f>
        <v>8</v>
      </c>
      <c r="I8" s="15">
        <f>IF(G8&lt;F8,($I$1-F8)*24,IF(D8&lt;C8,($I$1-C8)*24,0))</f>
        <v>3.2166666666666659</v>
      </c>
      <c r="J8" s="15">
        <f>IF(I7&gt;0, IF(F7&gt;0, W7-I7, E7-I7),0)</f>
        <v>2.1833333333333336</v>
      </c>
      <c r="K8" s="62"/>
      <c r="L8" s="62"/>
      <c r="M8" s="15"/>
      <c r="N8" s="16"/>
      <c r="O8" s="16"/>
      <c r="P8" s="16"/>
      <c r="Q8" s="17" t="str">
        <f t="shared" si="6"/>
        <v>0</v>
      </c>
      <c r="R8" s="18" t="str">
        <f>IF(F8=0,"0",IF(F8&gt;C8,(24*TEXT(F8-C8,"HH:MM")), (24*TEXT(D8-G8,"HH:MM"))))</f>
        <v>0</v>
      </c>
      <c r="S8" s="15">
        <f t="shared" si="3"/>
        <v>1.3333333333333321</v>
      </c>
      <c r="T8" s="15">
        <f>IF(M8&gt;0,0,IF($W8&gt;8,$W8-8,(IF(E8&gt;8,E8-8,0))))</f>
        <v>0.69999999999999929</v>
      </c>
      <c r="U8" s="15">
        <f t="shared" si="4"/>
        <v>0.69999999999999929</v>
      </c>
      <c r="V8" s="15">
        <f>IF(AND(F8&gt;0, ((G8-F8+(F8&gt;G8))*24)&lt;8),8- ((G8-F8+(F8&gt;G8))*24),0)</f>
        <v>0</v>
      </c>
      <c r="W8" s="15">
        <f>((G8-F8+(F8&gt;G8))*24)</f>
        <v>0</v>
      </c>
      <c r="X8" s="15">
        <f>IF(OR(L8&gt;0,M8&gt;0),0,IF($F8&gt;0,IF(AND($F8&gt;=$X$26,$F8&lt;=$Y$26),8,0),IF(AND($C8&gt;=$X$26,$C8&lt;=$Y$26),IF(I15&gt;0,ROUND(I15,0), ROUND(H8,0)),0)))</f>
        <v>0</v>
      </c>
      <c r="Y8" s="15">
        <f>IF(OR(M8&gt;0, L8&gt;0),0,IF(OR(AND($C8&gt;$X$24,$C8&lt;$Y$24,OR($D8&gt;$Y$24,D8&gt;=$Z$24)),(AND($F8&gt;$X$24,$F8&lt;$Y$24,OR($G8&gt;$Y$24,G8&gt;=$Z$24)))),IF(I8&gt;0,ROUND(I8,0),ROUND(H8,0)),0))</f>
        <v>0</v>
      </c>
      <c r="Z8" s="17">
        <f>IF(OR(M8&gt;0,L8&gt;0),0,IF($F8&gt;0,IF(OR($F8&gt;=$X$23,AND($Z$23&lt;$F8,$F8&lt;$Y$23)),8,0),IF($C8&gt;0,IF(OR($C8&gt;=$X$23,AND($Z$23&lt;$C8,$C8&lt;$Y$23)),IF(I8&gt;0,ROUND(I8,0), ROUND(H8,0)),0),0)))</f>
        <v>3</v>
      </c>
      <c r="AA8" s="15">
        <f>IF(OR(L8&gt;0,M8&gt;0),0,IF($F8&gt;0,IF(OR(AND($F8&gt;$X$25,$F8&lt;$Y$25),AND($G8&gt;$X$25,$G8&lt;$Y$25)),1,0),IF($C8&gt;0,IF(OR(AND($C8&gt;$X$25,$C8&lt;$Y$25),AND($D8&gt;$X$25,$D8&lt;$Y$25)),1,0),0)))</f>
        <v>0</v>
      </c>
      <c r="AB8" s="19">
        <f>IF(F8&gt;0,F8+(8/24),IF(C8&gt;0,C8+(8/24),0))</f>
        <v>1.1993055555555556</v>
      </c>
      <c r="AC8" s="15">
        <f>IF(IF(K8&gt;0,VLOOKUP(K8,Sheet1!$A$3:$B$27,2,FALSE)-E8,0)&gt;0,IF(K8&gt;0,VLOOKUP(K8,Sheet1!$A$3:$B$27,2,FALSE)-E8,0),0)</f>
        <v>0</v>
      </c>
    </row>
    <row r="9" spans="1:30" ht="17" customHeight="1" x14ac:dyDescent="0.2">
      <c r="A9" s="20">
        <f t="shared" si="2"/>
        <v>44303</v>
      </c>
      <c r="B9" s="21" t="s">
        <v>28</v>
      </c>
      <c r="C9" s="22">
        <v>0.74513888888888891</v>
      </c>
      <c r="D9" s="22">
        <v>5.2083333333333336E-2</v>
      </c>
      <c r="E9" s="23">
        <f t="shared" si="5"/>
        <v>7.3666666666666671</v>
      </c>
      <c r="F9" s="23"/>
      <c r="G9" s="23"/>
      <c r="H9" s="23">
        <f>IF(OR(M9&gt;0,N9&gt;0),0,IF(W9&gt;8,8,($E9-$T9)))</f>
        <v>7.3666666666666671</v>
      </c>
      <c r="I9" s="23">
        <f>IF(G9&lt;F9,($I$1-F9)*24,IF(D9&lt;C9,($I$1-C9)*24,0))</f>
        <v>6.1166666666666663</v>
      </c>
      <c r="J9" s="23">
        <f>IF(I8&gt;0, IF(F8&gt;0, W8-I8, E8-I8),0)</f>
        <v>5.4833333333333334</v>
      </c>
      <c r="K9" s="65" t="s">
        <v>75</v>
      </c>
      <c r="L9" s="65"/>
      <c r="M9" s="24"/>
      <c r="N9" s="25"/>
      <c r="O9" s="25"/>
      <c r="P9" s="25"/>
      <c r="Q9" s="26" t="str">
        <f t="shared" si="6"/>
        <v>0</v>
      </c>
      <c r="R9" s="26" t="str">
        <f>IF(F9=0,"0",IF(F9&gt;C9,(24*TEXT(F9-C9,"HH:MM")), (24*TEXT(D9-G9,"HH:MM"))))</f>
        <v>0</v>
      </c>
      <c r="S9" s="23">
        <f t="shared" si="3"/>
        <v>0.69999999999999929</v>
      </c>
      <c r="T9" s="23">
        <f>IF(M9&gt;0,0,IF($W9&gt;8,$W9-8,(IF(E9&gt;8,E9-8,0))))</f>
        <v>0</v>
      </c>
      <c r="U9" s="23">
        <f t="shared" ref="U9:U16" si="7">Q9+T9</f>
        <v>0</v>
      </c>
      <c r="V9" s="23">
        <f>IF(AND(F9&gt;0, ((G9-F9+(F9&gt;G9))*24)&lt;8),8- ((G9-F9+(F9&gt;G9))*24),0)</f>
        <v>0</v>
      </c>
      <c r="W9" s="23">
        <f>((G9-F9+(F9&gt;G9))*24)</f>
        <v>0</v>
      </c>
      <c r="X9" s="23"/>
      <c r="Y9" s="23"/>
      <c r="Z9" s="23"/>
      <c r="AA9" s="23"/>
      <c r="AB9" s="27">
        <f>IF(F9&gt;0,F9+(8/24),IF(C9&gt;0,C9+(8/24),0))</f>
        <v>1.0784722222222223</v>
      </c>
      <c r="AC9" s="23">
        <f>IF(IF(K9&gt;0,VLOOKUP(K9,Sheet1!$A$3:$B$27,2,FALSE)-E9,0)&gt;0,IF(K9&gt;0,VLOOKUP(K9,Sheet1!$A$3:$B$27,2,FALSE)-E9,0),0)</f>
        <v>2.6333333333333329</v>
      </c>
    </row>
    <row r="10" spans="1:30" ht="17" customHeight="1" x14ac:dyDescent="0.2">
      <c r="A10" s="4">
        <f t="shared" si="2"/>
        <v>44304</v>
      </c>
      <c r="B10" s="5" t="s">
        <v>22</v>
      </c>
      <c r="C10" s="6">
        <v>0.70763888888888893</v>
      </c>
      <c r="D10" s="6">
        <v>0.10833333333333334</v>
      </c>
      <c r="E10" s="7">
        <f t="shared" si="5"/>
        <v>9.6166666666666671</v>
      </c>
      <c r="F10" s="7"/>
      <c r="G10" s="7"/>
      <c r="H10" s="8">
        <f>IF(OR(M10&gt;0,N10&gt;0),0,IF(W10&gt;8,8,($E10-$T10)))</f>
        <v>8</v>
      </c>
      <c r="I10" s="8">
        <f>IF(G10&lt;F10,($I$1-F10)*24,IF(D10&lt;C10,($I$1-C10)*24,0))</f>
        <v>7.0166666666666657</v>
      </c>
      <c r="J10" s="8">
        <f>IF(I9&gt;0, IF(F9&gt;0, W9-I9, E9-I9),0)</f>
        <v>1.2500000000000009</v>
      </c>
      <c r="K10" s="63"/>
      <c r="L10" s="63"/>
      <c r="M10" s="8"/>
      <c r="N10" s="9"/>
      <c r="O10" s="9"/>
      <c r="P10" s="9"/>
      <c r="Q10" s="10" t="str">
        <f t="shared" si="6"/>
        <v>0</v>
      </c>
      <c r="R10" s="10" t="str">
        <f>IF(F10=0,"0",IF(F10&gt;C10,(24*TEXT(F10-C10,"HH:MM")), (24*TEXT(D10-G10,"HH:MM"))))</f>
        <v>0</v>
      </c>
      <c r="S10" s="7">
        <f t="shared" si="3"/>
        <v>0</v>
      </c>
      <c r="T10" s="7">
        <f>IF(M10&gt;0,0,IF($W10&gt;8,$W10-8,(IF(E10&gt;8,E10-8,0))))</f>
        <v>1.6166666666666671</v>
      </c>
      <c r="U10" s="7">
        <f t="shared" si="7"/>
        <v>1.6166666666666671</v>
      </c>
      <c r="V10" s="7">
        <f>IF(AND(F10&gt;0, ((G10-F10+(F10&gt;G10))*24)&lt;8),8- ((G10-F10+(F10&gt;G10))*24),0)</f>
        <v>0</v>
      </c>
      <c r="W10" s="7">
        <f>((G10-F10+(F10&gt;G10))*24)</f>
        <v>0</v>
      </c>
      <c r="X10" s="7">
        <f>IF(OR(M10&gt;0,L10&gt;0),0,IF(I10&gt;0,IF($F10&gt;0,IF(AND($F10&gt;=$X$26,$F10&lt;=$Y$26),ROUND(8-I10,0),0),IF($C10&gt;0,IF(AND($C10&gt;=$X$26,$C10&lt;=$Y$26),ROUND(8-I10,0),0),0)),0))</f>
        <v>0</v>
      </c>
      <c r="Y10" s="7">
        <f>IF(OR(M10&gt;0,L10&gt;0),0,IF(I10&gt;0,IF($F10&gt;0,IF(OR($F10&gt;=$X$24,AND($Z$24&lt;$F10,$F10&lt;$Y$24)),ROUND(8-I10,0),0),IF($C10&gt;0,IF(OR($C10&gt;=$X$24,AND($Z$24&lt;$C10,$C10&lt;$Y$24)),ROUND(8-I10,0),0),0)),0))</f>
        <v>1</v>
      </c>
      <c r="Z10" s="7">
        <f>IF(OR(M10&gt;0,L10&gt;0),0,IF(I10&gt;0,IF($F10&gt;0,IF(OR($F10&gt;=$X$23,AND($Z$23&lt;$F10,$F10&lt;$Y$23)),ROUND(8-I10,0),0),IF($C10&gt;0,IF(OR($C10&gt;=$X$23,AND($Z$23&lt;$C10,$C10&lt;$Y$23)),ROUND(8-I10,0),0),0)),0))</f>
        <v>0</v>
      </c>
      <c r="AA10" s="7">
        <f>IF(OR(L10&gt;0,M10&gt;0),0,IF(I10&gt;0,IF($F10&gt;0,IF(OR(AND($F10&gt;$X$25,$F10&lt;$Y$25),AND($G10&gt;$X$25,$G10&lt;$Y$25)),1,0),IF($C10&gt;0,IF(OR(AND($C10&gt;$X$25,$C10&lt;$Y$25),AND($D10&gt;$X$25,$D10&lt;$Y$25)),1,0),0)),0))</f>
        <v>1</v>
      </c>
      <c r="AB10" s="11">
        <f>IF(F10&gt;0,F10+(8/24),IF(C10&gt;0,C10+(8/24),0))</f>
        <v>1.0409722222222222</v>
      </c>
      <c r="AC10" s="7">
        <f>IF(IF(K10&gt;0,VLOOKUP(K10,Sheet1!$A$3:$B$27,2,FALSE)-E10,0)&gt;0,IF(K10&gt;0,VLOOKUP(K10,Sheet1!$A$3:$B$27,2,FALSE)-E10,0),0)</f>
        <v>0</v>
      </c>
    </row>
    <row r="11" spans="1:30" ht="17" customHeight="1" x14ac:dyDescent="0.2">
      <c r="A11" s="12">
        <f t="shared" si="2"/>
        <v>44305</v>
      </c>
      <c r="B11" s="13" t="s">
        <v>23</v>
      </c>
      <c r="C11" s="14">
        <v>0.70833333333333337</v>
      </c>
      <c r="D11" s="14">
        <v>4.1666666666666664E-2</v>
      </c>
      <c r="E11" s="15">
        <f t="shared" si="5"/>
        <v>7.9999999999999982</v>
      </c>
      <c r="F11" s="15"/>
      <c r="G11" s="15"/>
      <c r="H11" s="15">
        <f>IF(OR(M11&gt;0,N11&gt;0),0,IF(W11&gt;8,8,($E11-$T11)))</f>
        <v>7.9999999999999982</v>
      </c>
      <c r="I11" s="15">
        <f>IF(G11&lt;F11,($I$1-F11)*24,IF(D11&lt;C11,($I$1-C11)*24,0))</f>
        <v>6.9999999999999991</v>
      </c>
      <c r="J11" s="15">
        <f>IF(I10&gt;0, IF(F10&gt;0, W10-I10, E10-I10),0)</f>
        <v>2.6000000000000014</v>
      </c>
      <c r="K11" s="62"/>
      <c r="L11" s="62"/>
      <c r="M11" s="15"/>
      <c r="N11" s="16"/>
      <c r="O11" s="16"/>
      <c r="P11" s="16"/>
      <c r="Q11" s="17" t="str">
        <f t="shared" si="6"/>
        <v>0</v>
      </c>
      <c r="R11" s="18" t="str">
        <f>IF(F11=0,"0",IF(F11&gt;C11,(24*TEXT(F11-C11,"HH:MM")), (24*TEXT(D11-G11,"HH:MM"))))</f>
        <v>0</v>
      </c>
      <c r="S11" s="15">
        <f t="shared" si="3"/>
        <v>1.6166666666666671</v>
      </c>
      <c r="T11" s="15">
        <f>IF(M11&gt;0,0,IF($W11&gt;8,$W11-8,(IF(E11&gt;8,E11-8,0))))</f>
        <v>0</v>
      </c>
      <c r="U11" s="15">
        <f t="shared" si="7"/>
        <v>0</v>
      </c>
      <c r="V11" s="15">
        <f>IF(AND(F11&gt;0, ((G11-F11+(F11&gt;G11))*24)&lt;8),8- ((G11-F11+(F11&gt;G11))*24),0)</f>
        <v>0</v>
      </c>
      <c r="W11" s="15">
        <f>((G11-F11+(F11&gt;G11))*24)</f>
        <v>0</v>
      </c>
      <c r="X11" s="15">
        <f>IF(OR(L11&gt;0,M11&gt;0),0,IF($F11&gt;0,IF(AND($F11&gt;=$X$26,$F11&lt;=$Y$26),8,0),IF(AND($C11&gt;=$X$26,$C11&lt;=$Y$26),ROUND(H11,0),0)))</f>
        <v>0</v>
      </c>
      <c r="Y11" s="15">
        <f>IF(OR(M11&gt;0, L11&gt;0),0,IF(OR(AND($C11&gt;$X$24,$C11&lt;$Y$24,OR($D11&gt;$Y$24,D11&gt;=$Z$24)),(AND($F11&gt;$X$24,$F11&lt;$Y$24,OR($G11&gt;$Y$24,G11&gt;=$Z$24)))),ROUND(H11,0),0))</f>
        <v>8</v>
      </c>
      <c r="Z11" s="17">
        <f>IF(OR(M11&gt;0,L11&gt;0),0,IF($F11&gt;0,IF(OR($F11&gt;=$X$23,AND($Z$23&lt;$F11,$F11&lt;$Y$23)),8,0),IF($C11&gt;0,IF(OR($C11&gt;=$X$23,AND($Z$23&lt;$C11,$C11&lt;$Y$23)),ROUND(H11,0),0),0)))</f>
        <v>0</v>
      </c>
      <c r="AA11" s="15">
        <f>IF(OR(L11&gt;0,M11&gt;0),0,IF($F11&gt;0,IF(OR(AND($F11&gt;$X$25,$F11&lt;$Y$25),AND($G11&gt;$X$25,$G11&lt;$Y$25)),1,0),IF($C11&gt;0,IF(OR(AND($C11&gt;$X$25,$C11&lt;$Y$25),AND($D11&gt;$X$25,$D11&lt;$Y$25)),1,0),0)))</f>
        <v>0</v>
      </c>
      <c r="AB11" s="19">
        <f>IF(F11&gt;0,F11+(8/24),IF(C11&gt;0,C11+(8/24),0))</f>
        <v>1.0416666666666667</v>
      </c>
      <c r="AC11" s="15">
        <f>IF(IF(K11&gt;0,VLOOKUP(K11,Sheet1!$A$3:$B$27,2,FALSE)-E11,0)&gt;0,IF(K11&gt;0,VLOOKUP(K11,Sheet1!$A$3:$B$27,2,FALSE)-E11,0),0)</f>
        <v>0</v>
      </c>
    </row>
    <row r="12" spans="1:30" ht="17" customHeight="1" x14ac:dyDescent="0.2">
      <c r="A12" s="12">
        <f t="shared" si="2"/>
        <v>44306</v>
      </c>
      <c r="B12" s="13" t="s">
        <v>24</v>
      </c>
      <c r="C12" s="14">
        <v>0.83472222222222225</v>
      </c>
      <c r="D12" s="14">
        <v>0.21875</v>
      </c>
      <c r="E12" s="15">
        <f t="shared" si="5"/>
        <v>9.216666666666665</v>
      </c>
      <c r="F12" s="15"/>
      <c r="G12" s="15"/>
      <c r="H12" s="15">
        <f>IF(OR(M12&gt;0,N12&gt;0),0,IF(W12&gt;8,8,($E12-$T12)))</f>
        <v>8</v>
      </c>
      <c r="I12" s="15">
        <f>IF(G12&lt;F12,($I$1-F12)*24,IF(D12&lt;C12,($I$1-C12)*24,0))</f>
        <v>3.9666666666666659</v>
      </c>
      <c r="J12" s="15">
        <f>IF(I11&gt;0, IF(F11&gt;0, W11-I11, E11-I11),0)</f>
        <v>0.99999999999999911</v>
      </c>
      <c r="K12" s="62" t="s">
        <v>74</v>
      </c>
      <c r="L12" s="62"/>
      <c r="M12" s="15">
        <f>IF($F$41&lt;0,(IF(AND($E12&gt;0,(COUNT($C$3:$C12)&gt;10)),$E12,0)),(IF(AND($E12&gt;0,(COUNT($C$3:$C12)&gt;9)),$E12,0)))</f>
        <v>0</v>
      </c>
      <c r="N12" s="16"/>
      <c r="O12" s="16"/>
      <c r="P12" s="16"/>
      <c r="Q12" s="17" t="str">
        <f t="shared" si="6"/>
        <v>0</v>
      </c>
      <c r="R12" s="18" t="str">
        <f>IF(F12=0,"0",IF(F12&gt;C12,(24*TEXT(F12-C12,"HH:MM")), (24*TEXT(D12-G12,"HH:MM"))))</f>
        <v>0</v>
      </c>
      <c r="S12" s="15">
        <f t="shared" si="3"/>
        <v>0</v>
      </c>
      <c r="T12" s="15">
        <f>IF(M12&gt;0,0,IF($W12&gt;8,$W12-8,(IF(E12&gt;8,E12-8,0))))</f>
        <v>1.216666666666665</v>
      </c>
      <c r="U12" s="15">
        <f t="shared" si="7"/>
        <v>1.216666666666665</v>
      </c>
      <c r="V12" s="15">
        <f>IF(AND(F12&gt;0, ((G12-F12+(F12&gt;G12))*24)&lt;8),8- ((G12-F12+(F12&gt;G12))*24),0)</f>
        <v>0</v>
      </c>
      <c r="W12" s="15">
        <f>((G12-F12+(F12&gt;G12))*24)</f>
        <v>0</v>
      </c>
      <c r="X12" s="15">
        <f>IF(OR(L12&gt;0,M12&gt;0),0,IF($F12&gt;0,IF(AND($F12&gt;=$X$26,$F12&lt;=$Y$26),8,0),IF(AND($C12&gt;=$X$26,$C12&lt;=$Y$26),ROUND(H12,0),0)))</f>
        <v>0</v>
      </c>
      <c r="Y12" s="15">
        <f>IF(OR(M12&gt;0, L12&gt;0),0,IF(OR(AND($C12&gt;$X$24,$C12&lt;$Y$24,OR($D12&gt;$Y$24,D12&gt;=$Z$24)),(AND($F12&gt;$X$24,$F12&lt;$Y$24,OR($G12&gt;$Y$24,G12&gt;=$Z$24)))),ROUND(H12,0),0))</f>
        <v>0</v>
      </c>
      <c r="Z12" s="17">
        <f>IF(OR(M12&gt;0,L12&gt;0),0,IF($F12&gt;0,IF(OR($F12&gt;=$X$23,AND($Z$23&lt;$F12,$F12&lt;$Y$23)),8,0),IF($C12&gt;0,IF(OR($C12&gt;=$X$23,AND($Z$23&lt;$C12,$C12&lt;$Y$23)),ROUND(H12,0),0),0)))</f>
        <v>8</v>
      </c>
      <c r="AA12" s="15">
        <f>IF(OR(L12&gt;0,M12&gt;0),0,IF($F12&gt;0,IF(OR(AND($F12&gt;$X$25,$F12&lt;$Y$25),AND($G12&gt;$X$25,$G12&lt;$Y$25)),1,0),IF($C12&gt;0,IF(OR(AND($C12&gt;$X$25,$C12&lt;$Y$25),AND($D12&gt;$X$25,$D12&lt;$Y$25)),1,0),0)))</f>
        <v>0</v>
      </c>
      <c r="AB12" s="19">
        <f>IF(F12&gt;0,F12+(8/24),IF(C12&gt;0,C12+(8/24),0))</f>
        <v>1.1680555555555556</v>
      </c>
      <c r="AC12" s="15">
        <f>IF(IF(K12&gt;0,VLOOKUP(K12,Sheet1!$A$3:$B$27,2,FALSE)-E12,0)&gt;0,IF(K12&gt;0,VLOOKUP(K12,Sheet1!$A$3:$B$27,2,FALSE)-E12,0),0)</f>
        <v>0</v>
      </c>
    </row>
    <row r="13" spans="1:30" ht="17" customHeight="1" x14ac:dyDescent="0.2">
      <c r="A13" s="12">
        <f t="shared" si="2"/>
        <v>44307</v>
      </c>
      <c r="B13" s="13" t="s">
        <v>25</v>
      </c>
      <c r="C13" s="14">
        <v>0.89583333333333337</v>
      </c>
      <c r="D13" s="14">
        <v>0.22916666666666666</v>
      </c>
      <c r="E13" s="15">
        <f t="shared" si="5"/>
        <v>7.9999999999999982</v>
      </c>
      <c r="F13" s="15"/>
      <c r="G13" s="15"/>
      <c r="H13" s="15">
        <f>IF(OR(M13&gt;0,N13&gt;0),0,IF(W13&gt;8,8,($E13-$T13)))</f>
        <v>0</v>
      </c>
      <c r="I13" s="15">
        <f>IF(G13&lt;F13,($I$1-F13)*24,IF(D13&lt;C13,($I$1-C13)*24,0))</f>
        <v>2.4999999999999991</v>
      </c>
      <c r="J13" s="15">
        <f>IF(I12&gt;0, IF(F12&gt;0, W12-I12, E12-I12),0)</f>
        <v>5.2499999999999991</v>
      </c>
      <c r="K13" s="62"/>
      <c r="L13" s="62"/>
      <c r="M13" s="15">
        <f>IF($F$41&lt;0,(IF(AND($E13&gt;0,(COUNT($C$3:$C13)&gt;10)),$E13,0)),(IF(AND($E13&gt;0,(COUNT($C$3:$C13)&gt;9)),$E13,0)))</f>
        <v>7.9999999999999982</v>
      </c>
      <c r="N13" s="16"/>
      <c r="O13" s="16"/>
      <c r="P13" s="16"/>
      <c r="Q13" s="17" t="str">
        <f t="shared" si="6"/>
        <v>0</v>
      </c>
      <c r="R13" s="18" t="str">
        <f>IF(F13=0,"0",IF(F13&gt;C13,(24*TEXT(F13-C13,"HH:MM")), (24*TEXT(D13-G13,"HH:MM"))))</f>
        <v>0</v>
      </c>
      <c r="S13" s="15">
        <f t="shared" si="3"/>
        <v>1.216666666666665</v>
      </c>
      <c r="T13" s="15">
        <f>IF(M13&gt;0,0,IF($W13&gt;8,$W13-8,(IF(E13&gt;8,E13-8,0))))</f>
        <v>0</v>
      </c>
      <c r="U13" s="15">
        <f t="shared" si="7"/>
        <v>0</v>
      </c>
      <c r="V13" s="15">
        <f>IF(AND(F13&gt;0, ((G13-F13+(F13&gt;G13))*24)&lt;8),8- ((G13-F13+(F13&gt;G13))*24),0)</f>
        <v>0</v>
      </c>
      <c r="W13" s="15">
        <f>((G13-F13+(F13&gt;G13))*24)</f>
        <v>0</v>
      </c>
      <c r="X13" s="15">
        <f>IF(OR(L13&gt;0,M13&gt;0),0,IF($F13&gt;0,IF(AND($F13&gt;=$X$26,$F13&lt;=$Y$26),8,0),IF(AND($C13&gt;=$X$26,$C13&lt;=$Y$26),ROUND(H13,0),0)))</f>
        <v>0</v>
      </c>
      <c r="Y13" s="15">
        <f>IF(OR(M13&gt;0, L13&gt;0),0,IF(OR(AND($C13&gt;$X$24,$C13&lt;$Y$24,OR($D13&gt;$Y$24,D13&gt;=$Z$24)),(AND($F13&gt;$X$24,$F13&lt;$Y$24,OR($G13&gt;$Y$24,G13&gt;=$Z$24)))),ROUND(H13,0),0))</f>
        <v>0</v>
      </c>
      <c r="Z13" s="17">
        <f>IF(OR(M13&gt;0,L13&gt;0),0,IF($F13&gt;0,IF(OR($F13&gt;=$X$23,AND($Z$23&lt;$F13,$F13&lt;$Y$23)),8,0),IF($C13&gt;0,IF(OR($C13&gt;=$X$23,AND($Z$23&lt;$C13,$C13&lt;$Y$23)),ROUND(H13,0),0),0)))</f>
        <v>0</v>
      </c>
      <c r="AA13" s="15">
        <f>IF(OR(L13&gt;0,M13&gt;0),0,IF($F13&gt;0,IF(OR(AND($F13&gt;$X$25,$F13&lt;$Y$25),AND($G13&gt;$X$25,$G13&lt;$Y$25)),1,0),IF($C13&gt;0,IF(OR(AND($C13&gt;$X$25,$C13&lt;$Y$25),AND($D13&gt;$X$25,$D13&lt;$Y$25)),1,0),0)))</f>
        <v>0</v>
      </c>
      <c r="AB13" s="19">
        <f>IF(F13&gt;0,F13+(8/24),IF(C13&gt;0,C13+(8/24),0))</f>
        <v>1.2291666666666667</v>
      </c>
      <c r="AC13" s="15">
        <f>IF(IF(K13&gt;0,VLOOKUP(K13,Sheet1!$A$3:$B$27,2,FALSE)-E13,0)&gt;0,IF(K13&gt;0,VLOOKUP(K13,Sheet1!$A$3:$B$27,2,FALSE)-E13,0),0)</f>
        <v>0</v>
      </c>
    </row>
    <row r="14" spans="1:30" ht="17" customHeight="1" x14ac:dyDescent="0.2">
      <c r="A14" s="12">
        <f t="shared" si="2"/>
        <v>44308</v>
      </c>
      <c r="B14" s="13" t="s">
        <v>26</v>
      </c>
      <c r="C14" s="14">
        <v>0.7006944444444444</v>
      </c>
      <c r="D14" s="14">
        <v>0.99236111111111114</v>
      </c>
      <c r="E14" s="15">
        <f t="shared" si="5"/>
        <v>7.0000000000000018</v>
      </c>
      <c r="F14" s="15"/>
      <c r="G14" s="15"/>
      <c r="H14" s="15">
        <f>IF(OR(M14&gt;0,N14&gt;0),0,IF(W14&gt;8,8,($E14-$T14)))</f>
        <v>0</v>
      </c>
      <c r="I14" s="15">
        <f>IF(G14&lt;F14,($I$1-F14)*24,IF(D14&lt;C14,($I$1-C14)*24,0))</f>
        <v>0</v>
      </c>
      <c r="J14" s="15">
        <f>IF(I13&gt;0, IF(F13&gt;0, W13-I13, E13-I13),0)</f>
        <v>5.4999999999999991</v>
      </c>
      <c r="K14" s="62"/>
      <c r="L14" s="62"/>
      <c r="M14" s="15">
        <f>IF($F$41&lt;0,(IF(AND($E14&gt;0,(COUNT($C$3:$C14)&gt;10)),$E14,0)),(IF(AND($E14&gt;0,(COUNT($C$3:$C14)&gt;9)),$E14,0)))</f>
        <v>7.0000000000000018</v>
      </c>
      <c r="N14" s="16"/>
      <c r="O14" s="16"/>
      <c r="P14" s="16"/>
      <c r="Q14" s="18" t="str">
        <f t="shared" si="6"/>
        <v>0</v>
      </c>
      <c r="R14" s="18" t="str">
        <f>IF(F14=0,"0",IF(F14&gt;C14,(24*TEXT(F14-C14,"HH:MM")), (24*TEXT(D14-G14,"HH:MM"))))</f>
        <v>0</v>
      </c>
      <c r="S14" s="15">
        <f t="shared" si="3"/>
        <v>0</v>
      </c>
      <c r="T14" s="15">
        <f>IF(M14&gt;0,0,IF($W14&gt;8,$W14-8,(IF(E14&gt;8,E14-8,0))))</f>
        <v>0</v>
      </c>
      <c r="U14" s="15">
        <f t="shared" si="7"/>
        <v>0</v>
      </c>
      <c r="V14" s="15">
        <f>IF(AND(F14&gt;0, ((G14-F14+(F14&gt;G14))*24)&lt;8),8- ((G14-F14+(F14&gt;G14))*24),0)</f>
        <v>0</v>
      </c>
      <c r="W14" s="15">
        <f>((G14-F14+(F14&gt;G14))*24)</f>
        <v>0</v>
      </c>
      <c r="X14" s="15">
        <f>IF(OR(L14&gt;0,M14&gt;0),0,IF($F14&gt;0,IF(AND($F14&gt;=$X$26,$F14&lt;=$Y$26),8,0),IF(AND($C14&gt;=$X$26,$C14&lt;=$Y$26),ROUND(H14,0),0)))</f>
        <v>0</v>
      </c>
      <c r="Y14" s="15">
        <f>IF(OR(M14&gt;0, L14&gt;0),0,IF(OR(AND($C14&gt;$X$24,$C14&lt;$Y$24,OR($D14&gt;$Y$24,D14&gt;=$Z$24)),(AND($F14&gt;$X$24,$F14&lt;$Y$24,OR($G14&gt;$Y$24,G14&gt;=$Z$24)))),ROUND(H14,0),0))</f>
        <v>0</v>
      </c>
      <c r="Z14" s="17">
        <f>IF(OR(M14&gt;0,L14&gt;0),0,IF($F14&gt;0,IF(OR($F14&gt;=$X$23,AND($Z$23&lt;$F14,$F14&lt;$Y$23)),8,0),IF($C14&gt;0,IF(OR($C14&gt;=$X$23,AND($Z$23&lt;$C14,$C14&lt;$Y$23)),ROUND(H14,0),0),0)))</f>
        <v>0</v>
      </c>
      <c r="AA14" s="15">
        <f>IF(OR(L14&gt;0,M14&gt;0),0,IF($F14&gt;0,IF(OR(AND($F14&gt;$X$25,$F14&lt;$Y$25),AND($G14&gt;$X$25,$G14&lt;$Y$25)),1,0),IF($C14&gt;0,IF(OR(AND($C14&gt;$X$25,$C14&lt;$Y$25),AND($D14&gt;$X$25,$D14&lt;$Y$25)),1,0),0)))</f>
        <v>0</v>
      </c>
      <c r="AB14" s="19">
        <f>IF(F14&gt;0,F14+(8/24),IF(C14&gt;0,C14+(8/24),0))</f>
        <v>1.0340277777777778</v>
      </c>
      <c r="AC14" s="15">
        <f>IF(IF(K14&gt;0,VLOOKUP(K14,Sheet1!$A$3:$B$27,2,FALSE)-E14,0)&gt;0,IF(K14&gt;0,VLOOKUP(K14,Sheet1!$A$3:$B$27,2,FALSE)-E14,0),0)</f>
        <v>0</v>
      </c>
    </row>
    <row r="15" spans="1:30" ht="17" customHeight="1" x14ac:dyDescent="0.2">
      <c r="A15" s="12">
        <f t="shared" si="2"/>
        <v>44309</v>
      </c>
      <c r="B15" s="13" t="s">
        <v>27</v>
      </c>
      <c r="C15" s="14">
        <v>0.62013888888888891</v>
      </c>
      <c r="D15" s="14">
        <v>0.93402777777777779</v>
      </c>
      <c r="E15" s="15">
        <f t="shared" si="5"/>
        <v>7.5333333333333332</v>
      </c>
      <c r="F15" s="15"/>
      <c r="G15" s="15"/>
      <c r="H15" s="15">
        <f>IF(OR(M15&gt;0,N15&gt;0),0,IF(W15&gt;8,8,($E15-$T15)))</f>
        <v>0</v>
      </c>
      <c r="I15" s="15">
        <f>IF(G15&lt;F15,($I$1-F15)*24,IF(D15&lt;C15,($I$1-C15)*24,0))</f>
        <v>0</v>
      </c>
      <c r="J15" s="15">
        <f>IF(I14&gt;0, IF(F14&gt;0, W14-I14, E14-I14),0)</f>
        <v>0</v>
      </c>
      <c r="K15" s="62"/>
      <c r="L15" s="62"/>
      <c r="M15" s="15">
        <f>IF($F$41&lt;0,(IF(AND($E15&gt;0,(COUNT($C$3:$C15)&gt;10)),IF(I15&gt;0,I15,$E15),0)),(IF(AND($E15&gt;0,(COUNT($C$3:$C15)&gt;9)),IF(I15&gt;0,I15,$E15),0)))</f>
        <v>7.5333333333333332</v>
      </c>
      <c r="N15" s="16"/>
      <c r="O15" s="16"/>
      <c r="P15" s="16"/>
      <c r="Q15" s="17" t="str">
        <f t="shared" si="6"/>
        <v>0</v>
      </c>
      <c r="R15" s="18" t="str">
        <f>IF(F15=0,"0",IF(F15&gt;C15,(24*TEXT(F15-C15,"HH:MM")), (24*TEXT(D15-G15,"HH:MM"))))</f>
        <v>0</v>
      </c>
      <c r="S15" s="15">
        <f t="shared" si="3"/>
        <v>0</v>
      </c>
      <c r="T15" s="15">
        <f>IF(M15&gt;0,0,IF($W15&gt;8,$W15-8,(IF(E15&gt;8,E15-8,0))))</f>
        <v>0</v>
      </c>
      <c r="U15" s="15">
        <f t="shared" si="7"/>
        <v>0</v>
      </c>
      <c r="V15" s="15">
        <f>IF(AND(F15&gt;0, ((G15-F15+(F15&gt;G15))*24)&lt;8),8- ((G15-F15+(F15&gt;G15))*24),0)</f>
        <v>0</v>
      </c>
      <c r="W15" s="15">
        <f>((G15-F15+(F15&gt;G15))*24)</f>
        <v>0</v>
      </c>
      <c r="X15" s="15">
        <f>IF(OR(L15&gt;0,M15&gt;0),0,IF($F15&gt;0,IF(AND($F15&gt;=$X$26,$F15&lt;=$Y$26),8,0),IF(AND($C15&gt;=$X$26,$C15&lt;=$Y$26),IF(I22&gt;0,ROUND(I22,0), ROUND(H15,0)),0)))</f>
        <v>0</v>
      </c>
      <c r="Y15" s="15">
        <f>IF(OR(M15&gt;0, L15&gt;0),0,IF(OR(AND($C15&gt;$X$24,$C15&lt;$Y$24,OR($D15&gt;$Y$24,D15&gt;=$Z$24)),(AND($F15&gt;$X$24,$F15&lt;$Y$24,OR($G15&gt;$Y$24,G15&gt;=$Z$24)))),IF(I15&gt;0,ROUND(I15,0),ROUND(H15,0)),0))</f>
        <v>0</v>
      </c>
      <c r="Z15" s="17">
        <f>IF(OR(M15&gt;0,L15&gt;0),0,IF($F15&gt;0,IF(OR($F15&gt;=$X$23,AND($Z$23&lt;$F15,$F15&lt;$Y$23)),8,0),IF($C15&gt;0,IF(OR($C15&gt;=$X$23,AND($Z$23&lt;$C15,$C15&lt;$Y$23)),IF(I15&gt;0,ROUND(I15,0), ROUND(H15,0)),0),0)))</f>
        <v>0</v>
      </c>
      <c r="AA15" s="15">
        <f>IF(OR(L15&gt;0,M15&gt;0),0,IF($F15&gt;0,IF(OR(AND($F15&gt;$X$25,$F15&lt;$Y$25),AND($G15&gt;$X$25,$G15&lt;$Y$25)),1,0),IF($C15&gt;0,IF(OR(AND($C15&gt;$X$25,$C15&lt;$Y$25),AND($D15&gt;$X$25,$D15&lt;$Y$25)),1,0),0)))</f>
        <v>0</v>
      </c>
      <c r="AB15" s="19">
        <f>IF(F15&gt;0,F15+(8/24),IF(C15&gt;0,C15+(8/24),0))</f>
        <v>0.95347222222222228</v>
      </c>
      <c r="AC15" s="15">
        <f>IF(IF(K15&gt;0,VLOOKUP(K15,Sheet1!$A$3:$B$27,2,FALSE)-E15,0)&gt;0,IF(K15&gt;0,VLOOKUP(K15,Sheet1!$A$3:$B$27,2,FALSE)-E15,0),0)</f>
        <v>0</v>
      </c>
    </row>
    <row r="16" spans="1:30" ht="17" customHeight="1" thickBot="1" x14ac:dyDescent="0.25">
      <c r="A16" s="20">
        <f t="shared" si="2"/>
        <v>44310</v>
      </c>
      <c r="B16" s="28" t="s">
        <v>28</v>
      </c>
      <c r="C16" s="22"/>
      <c r="D16" s="22"/>
      <c r="E16" s="23">
        <f t="shared" si="5"/>
        <v>0</v>
      </c>
      <c r="F16" s="23"/>
      <c r="G16" s="23"/>
      <c r="H16" s="23">
        <f>IF(OR(M16&gt;0,N16&gt;0),0,IF(W16&gt;8,8,($E16-$T16)))</f>
        <v>0</v>
      </c>
      <c r="I16" s="31">
        <f>IF(G16&lt;F16,($I$1-F16)*24,IF(D16&lt;C16,($I$1-C16)*24,0))</f>
        <v>0</v>
      </c>
      <c r="J16" s="31">
        <f>IF(I15&gt;0, IF(F15&gt;0, W15-I15, E15-I15),0)</f>
        <v>0</v>
      </c>
      <c r="K16" s="66"/>
      <c r="L16" s="66"/>
      <c r="M16" s="23">
        <f>IF(M15&gt;0,J16,0)+IF($F$41&lt;0,(IF(AND($E16&gt;0,(COUNT($C$3:$C16)&gt;10)),$E16,0)),(IF(AND($E16&gt;0,(COUNT($C$3:$C16)&gt;9)),$E16,0)))</f>
        <v>0</v>
      </c>
      <c r="N16" s="29"/>
      <c r="O16" s="29"/>
      <c r="P16" s="29"/>
      <c r="Q16" s="30" t="str">
        <f t="shared" si="6"/>
        <v>0</v>
      </c>
      <c r="R16" s="26" t="str">
        <f>IF(F16=0,"0",IF(F16&gt;C16,(24*TEXT(F16-C16,"HH:MM")), (24*TEXT(D16-G16,"HH:MM"))))</f>
        <v>0</v>
      </c>
      <c r="S16" s="26">
        <f>IF(M16&gt;0,0,IF(I16&gt;0,IF(I16&gt;8,(I16-8),0),T16))+IF(AND(I15&gt;0,T15&gt;0),IF(I15&gt;8,(T15-(I15-8)),T15),0)</f>
        <v>0</v>
      </c>
      <c r="T16" s="26">
        <f>IF(M16&gt;0,0,IF($W16&gt;8,$W16-8,(IF(E16&gt;8,E16-8,0))))</f>
        <v>0</v>
      </c>
      <c r="U16" s="31">
        <f t="shared" si="7"/>
        <v>0</v>
      </c>
      <c r="V16" s="23">
        <f>IF(AND(F16&gt;0, ((G16-F16+(F16&gt;G16))*24)&lt;8),8- ((G16-F16+(F16&gt;G16))*24),0)</f>
        <v>0</v>
      </c>
      <c r="W16" s="23">
        <f>((G16-F16+(F16&gt;G16))*24)</f>
        <v>0</v>
      </c>
      <c r="X16" s="23"/>
      <c r="Y16" s="23"/>
      <c r="Z16" s="23"/>
      <c r="AA16" s="23"/>
      <c r="AB16" s="27">
        <f>IF(F16&gt;0,F16+(8/24),IF(C16&gt;0,C16+(8/24),0))</f>
        <v>0</v>
      </c>
      <c r="AC16" s="23">
        <f>IF(IF(K16&gt;0,VLOOKUP(K16,Sheet1!$A$3:$B$27,2,FALSE)-E16,0)&gt;0,IF(K16&gt;0,VLOOKUP(K16,Sheet1!$A$3:$B$27,2,FALSE)-E16,0),0)</f>
        <v>0</v>
      </c>
      <c r="AD16" s="32"/>
    </row>
    <row r="17" spans="1:30" ht="20" customHeight="1" thickBot="1" x14ac:dyDescent="0.25">
      <c r="A17" s="112" t="s">
        <v>29</v>
      </c>
      <c r="B17" s="113"/>
      <c r="C17" s="113"/>
      <c r="D17" s="114"/>
      <c r="E17" s="33">
        <f t="shared" ref="E17" si="8">SUM(E3:E16)</f>
        <v>100.93333333333334</v>
      </c>
      <c r="F17" s="34"/>
      <c r="G17" s="34"/>
      <c r="H17" s="83">
        <f>SUM(H3:H16)</f>
        <v>71.366666666666674</v>
      </c>
      <c r="I17" s="83">
        <f t="shared" ref="I17:J17" si="9">SUM(I3:I16)</f>
        <v>58.416666666666664</v>
      </c>
      <c r="J17" s="83">
        <f t="shared" si="9"/>
        <v>27.983333333333338</v>
      </c>
      <c r="K17" s="35"/>
      <c r="L17" s="35">
        <f>SUM(L3:L11)+IF(M12&gt;0,0,L12)+IF(M13&gt;0,0,L13)+IF(M14&gt;0,0,L14)+IF(M15&gt;0,0,L15)+IF(M16&gt;0,0,L16)</f>
        <v>0</v>
      </c>
      <c r="M17" s="35">
        <f t="shared" ref="M17:P17" si="10">SUM(M3:M16)</f>
        <v>22.533333333333331</v>
      </c>
      <c r="N17" s="35">
        <f t="shared" ref="N17" si="11">SUM(N3:N16)</f>
        <v>0</v>
      </c>
      <c r="O17" s="35">
        <f t="shared" si="10"/>
        <v>0</v>
      </c>
      <c r="P17" s="35">
        <f t="shared" si="10"/>
        <v>0</v>
      </c>
      <c r="Q17" s="36">
        <f>SUM(Q11:Q15)+SUM(Q4:Q8)</f>
        <v>0</v>
      </c>
      <c r="R17" s="36">
        <f>SUM(R11:R15)+SUM(R4:R8)</f>
        <v>0</v>
      </c>
      <c r="S17" s="35">
        <f>SUM(S3:S16)</f>
        <v>7.0333333333333297</v>
      </c>
      <c r="T17" s="35">
        <f>SUM(T3:T16)</f>
        <v>7.0333333333333297</v>
      </c>
      <c r="U17" s="36">
        <f>SUM(U11:U15)+SUM(U4:U8)</f>
        <v>4.0999999999999961</v>
      </c>
      <c r="V17" s="37">
        <f t="shared" ref="V17:AA17" si="12">SUM(V3:V16)</f>
        <v>0</v>
      </c>
      <c r="W17" s="37">
        <f t="shared" si="12"/>
        <v>0</v>
      </c>
      <c r="X17" s="37">
        <f t="shared" si="12"/>
        <v>0</v>
      </c>
      <c r="Y17" s="37">
        <f t="shared" si="12"/>
        <v>34</v>
      </c>
      <c r="Z17" s="37">
        <f t="shared" si="12"/>
        <v>11</v>
      </c>
      <c r="AA17" s="37">
        <f t="shared" si="12"/>
        <v>4</v>
      </c>
      <c r="AB17" s="37"/>
      <c r="AC17" s="37">
        <f>SUM(AC3:AC16)</f>
        <v>4.0166666666666657</v>
      </c>
      <c r="AD17" s="38"/>
    </row>
    <row r="18" spans="1:30" ht="20" customHeight="1" thickBot="1" x14ac:dyDescent="0.25">
      <c r="A18" s="60"/>
      <c r="B18" s="60"/>
      <c r="C18" s="60"/>
      <c r="D18" s="70"/>
      <c r="E18" s="70"/>
      <c r="F18" s="70"/>
      <c r="G18" s="70"/>
      <c r="H18" s="70"/>
      <c r="I18" s="70"/>
      <c r="J18" s="70"/>
      <c r="K18" s="70"/>
      <c r="L18" s="82"/>
      <c r="M18" s="85">
        <f>COUNTIF(M12:M16,"&gt;0")</f>
        <v>3</v>
      </c>
      <c r="N18" s="87"/>
      <c r="O18" s="70"/>
      <c r="P18" s="70"/>
      <c r="Q18" s="70"/>
      <c r="R18" s="70"/>
      <c r="S18" s="91"/>
      <c r="T18" s="70"/>
      <c r="U18" s="70"/>
      <c r="V18" s="70"/>
      <c r="W18" s="70"/>
      <c r="X18" s="70"/>
      <c r="Y18" s="70"/>
      <c r="Z18" s="70"/>
      <c r="AA18" s="70"/>
      <c r="AB18" s="39"/>
      <c r="AC18" s="70"/>
      <c r="AD18" s="38"/>
    </row>
    <row r="19" spans="1:30" ht="21" thickBot="1" x14ac:dyDescent="0.25">
      <c r="A19" s="115" t="s">
        <v>30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7"/>
      <c r="L19" s="60"/>
      <c r="M19" s="60"/>
      <c r="N19" s="60"/>
      <c r="O19" s="70"/>
      <c r="P19" s="70"/>
      <c r="Q19" s="70"/>
      <c r="R19" s="70"/>
      <c r="S19" s="70"/>
      <c r="T19" s="70"/>
      <c r="U19" s="70"/>
      <c r="W19" s="71"/>
    </row>
    <row r="20" spans="1:30" ht="21" thickBot="1" x14ac:dyDescent="0.25">
      <c r="A20" s="115" t="s">
        <v>31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7"/>
      <c r="L20" s="60"/>
      <c r="M20" s="60"/>
      <c r="N20" s="60"/>
      <c r="O20" s="70"/>
      <c r="P20" s="70"/>
      <c r="Q20" s="70"/>
      <c r="R20" s="70"/>
      <c r="S20" s="70"/>
      <c r="T20" s="70"/>
      <c r="U20" s="70"/>
      <c r="W20" s="71"/>
    </row>
    <row r="21" spans="1:30" ht="19" customHeight="1" thickBot="1" x14ac:dyDescent="0.25">
      <c r="A21" s="118" t="s">
        <v>32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20"/>
      <c r="L21" s="39"/>
      <c r="M21" s="39"/>
      <c r="N21" s="39"/>
      <c r="O21" s="70"/>
      <c r="P21" s="70"/>
      <c r="Q21" s="70"/>
      <c r="R21" s="70"/>
      <c r="S21" s="70"/>
      <c r="T21" s="70"/>
      <c r="U21" s="70"/>
    </row>
    <row r="22" spans="1:30" ht="18" customHeight="1" thickBot="1" x14ac:dyDescent="0.25">
      <c r="A22" s="41" t="s">
        <v>33</v>
      </c>
      <c r="B22" s="121" t="s">
        <v>34</v>
      </c>
      <c r="C22" s="122"/>
      <c r="D22" s="123"/>
      <c r="E22" s="42" t="s">
        <v>35</v>
      </c>
      <c r="F22" s="43" t="s">
        <v>36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44"/>
      <c r="X22" s="95" t="s">
        <v>51</v>
      </c>
      <c r="Y22" s="96" t="s">
        <v>52</v>
      </c>
      <c r="Z22" s="97" t="s">
        <v>53</v>
      </c>
    </row>
    <row r="23" spans="1:30" ht="14" x14ac:dyDescent="0.2">
      <c r="A23" s="45">
        <v>1001</v>
      </c>
      <c r="B23" s="124" t="s">
        <v>37</v>
      </c>
      <c r="C23" s="124"/>
      <c r="D23" s="124"/>
      <c r="E23" s="46">
        <v>35.19605</v>
      </c>
      <c r="F23" s="47">
        <f>H17*E23</f>
        <v>2511.8247683333334</v>
      </c>
      <c r="G23" s="73"/>
      <c r="H23" s="73"/>
      <c r="I23" s="73"/>
      <c r="J23" s="73"/>
      <c r="K23" s="70"/>
      <c r="L23" s="70"/>
      <c r="M23" s="70"/>
      <c r="N23" s="70"/>
      <c r="O23" s="70"/>
      <c r="P23" s="70"/>
      <c r="Q23" s="70"/>
      <c r="X23" s="98">
        <v>0.75</v>
      </c>
      <c r="Y23" s="94">
        <v>0.16666666666666666</v>
      </c>
      <c r="Z23" s="99">
        <v>0</v>
      </c>
      <c r="AA23" s="72"/>
      <c r="AB23" s="72"/>
      <c r="AC23" s="72"/>
    </row>
    <row r="24" spans="1:30" ht="15" x14ac:dyDescent="0.2">
      <c r="A24" s="48" t="s">
        <v>99</v>
      </c>
      <c r="B24" s="105" t="s">
        <v>98</v>
      </c>
      <c r="C24" s="105"/>
      <c r="D24" s="105"/>
      <c r="E24" s="49">
        <f>E23</f>
        <v>35.19605</v>
      </c>
      <c r="F24" s="50">
        <f>O17*E24</f>
        <v>0</v>
      </c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X24" s="98">
        <v>0.41666666666666669</v>
      </c>
      <c r="Y24" s="94">
        <v>0.75</v>
      </c>
      <c r="Z24" s="100">
        <v>0</v>
      </c>
      <c r="AA24" s="72"/>
      <c r="AB24" s="72"/>
      <c r="AC24" s="72"/>
    </row>
    <row r="25" spans="1:30" ht="15" x14ac:dyDescent="0.2">
      <c r="A25" s="48" t="s">
        <v>64</v>
      </c>
      <c r="B25" s="105" t="s">
        <v>9</v>
      </c>
      <c r="C25" s="105"/>
      <c r="D25" s="105"/>
      <c r="E25" s="49">
        <f>E23</f>
        <v>35.19605</v>
      </c>
      <c r="F25" s="50">
        <f>P17*E25</f>
        <v>0</v>
      </c>
      <c r="G25" s="70"/>
      <c r="H25" s="70"/>
      <c r="I25" s="70"/>
      <c r="J25" s="70"/>
      <c r="K25" s="70"/>
      <c r="L25" s="70"/>
      <c r="M25" s="70"/>
      <c r="N25" s="73"/>
      <c r="O25" s="70"/>
      <c r="P25" s="70"/>
      <c r="Q25" s="70"/>
      <c r="X25" s="98">
        <v>4.1666666666666664E-2</v>
      </c>
      <c r="Y25" s="94">
        <v>0.16666666666666666</v>
      </c>
      <c r="Z25" s="100"/>
    </row>
    <row r="26" spans="1:30" ht="14" x14ac:dyDescent="0.2">
      <c r="A26" s="48">
        <v>5499</v>
      </c>
      <c r="B26" s="105" t="s">
        <v>38</v>
      </c>
      <c r="C26" s="105"/>
      <c r="D26" s="105"/>
      <c r="E26" s="49">
        <f>E23*20%</f>
        <v>7.0392100000000006</v>
      </c>
      <c r="F26" s="50">
        <f>P17*E26</f>
        <v>0</v>
      </c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V26" s="92"/>
      <c r="X26" s="98">
        <v>0.16666666666666666</v>
      </c>
      <c r="Y26" s="94">
        <v>0.22916666666666666</v>
      </c>
      <c r="Z26" s="100"/>
    </row>
    <row r="27" spans="1:30" ht="15" thickBot="1" x14ac:dyDescent="0.25">
      <c r="A27" s="51">
        <v>1011</v>
      </c>
      <c r="B27" s="125" t="s">
        <v>39</v>
      </c>
      <c r="C27" s="125"/>
      <c r="D27" s="125"/>
      <c r="E27" s="46">
        <f>E23*200%</f>
        <v>70.392099999999999</v>
      </c>
      <c r="F27" s="52">
        <f>N17*E27</f>
        <v>0</v>
      </c>
      <c r="G27" s="70"/>
      <c r="H27" s="70"/>
      <c r="I27" s="70"/>
      <c r="J27" s="70"/>
      <c r="K27" s="70"/>
      <c r="L27" s="73"/>
      <c r="M27" s="73"/>
      <c r="N27" s="73"/>
      <c r="O27" s="70"/>
      <c r="P27" s="70"/>
      <c r="Q27" s="70"/>
      <c r="V27" s="92"/>
      <c r="X27" s="101">
        <f>(IF(M4&gt;0,0,IF(U4&gt;3,(U4-3),0))+IF(M5&gt;0,0,IF(U5&gt;3,(U5-3),0))+IF(M6&gt;0,0,IF(U6&gt;3,(U6-3),0))+IF(M7&gt;0,0,IF(U7&gt;3,(U7-3),0))+IF(M8&gt;0,0,IF(U8&gt;3,(U8-3),0))+IF(M11&gt;0,0,IF(U11&gt;3,(U11-3),0))+IF(M12&gt;0,0,IF(U12&gt;3,(U12-3),0))+IF(M13&gt;0,0,IF(U13&gt;3,(U13-3),0))+IF(M14&gt;0,0,IF(U14&gt;3,(U14-3),0))+IF(M15&gt;0,0,IF(U15&gt;3,(U15-3),0)))</f>
        <v>0</v>
      </c>
      <c r="Y27" s="102"/>
      <c r="Z27" s="103"/>
    </row>
    <row r="28" spans="1:30" ht="15" thickBot="1" x14ac:dyDescent="0.25">
      <c r="A28" s="51">
        <v>1063</v>
      </c>
      <c r="B28" s="125" t="s">
        <v>40</v>
      </c>
      <c r="C28" s="125"/>
      <c r="D28" s="125"/>
      <c r="E28" s="53">
        <f>50%*E23</f>
        <v>17.598025</v>
      </c>
      <c r="F28" s="52">
        <f>N17*E28</f>
        <v>0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spans="1:30" ht="17" thickBot="1" x14ac:dyDescent="0.25">
      <c r="A29" s="126" t="s">
        <v>41</v>
      </c>
      <c r="B29" s="127"/>
      <c r="C29" s="127"/>
      <c r="D29" s="127"/>
      <c r="E29" s="127"/>
      <c r="F29" s="128"/>
      <c r="G29" s="70"/>
      <c r="H29" s="70"/>
      <c r="I29" s="70"/>
      <c r="J29" s="70"/>
      <c r="K29" s="70"/>
      <c r="L29" s="73"/>
      <c r="M29" s="73"/>
      <c r="N29" s="73"/>
      <c r="O29" s="70"/>
      <c r="P29" s="70"/>
      <c r="Q29" s="70"/>
    </row>
    <row r="30" spans="1:30" ht="14" x14ac:dyDescent="0.2">
      <c r="A30" s="45">
        <v>1026</v>
      </c>
      <c r="B30" s="124" t="s">
        <v>42</v>
      </c>
      <c r="C30" s="124"/>
      <c r="D30" s="124"/>
      <c r="E30" s="46">
        <f>150%*E23</f>
        <v>52.794074999999999</v>
      </c>
      <c r="F30" s="50">
        <f>(S17-S16-S10-S3-S9-X27)*E30</f>
        <v>334.36247499999985</v>
      </c>
      <c r="G30" s="54"/>
      <c r="K30" s="71"/>
      <c r="L30" s="71"/>
      <c r="M30" s="71"/>
      <c r="N30" s="71"/>
      <c r="Q30" s="55"/>
    </row>
    <row r="31" spans="1:30" ht="14" x14ac:dyDescent="0.2">
      <c r="A31" s="45">
        <v>1027</v>
      </c>
      <c r="B31" s="124" t="s">
        <v>66</v>
      </c>
      <c r="C31" s="124"/>
      <c r="D31" s="124"/>
      <c r="E31" s="49">
        <f>200%*E23</f>
        <v>70.392099999999999</v>
      </c>
      <c r="F31" s="47">
        <f>(IF(M4&gt;0,0,IF(U4&gt;3,(U4-3),0))+IF(M5&gt;0,0,IF(U5&gt;3,(U5-3),0))+IF(M6&gt;0,0,IF(U6&gt;3,(U6-3),0))+IF(M7&gt;0,0,IF(U7&gt;3,(U7-3),0))+IF(M8&gt;0,0,IF(U8&gt;3,(U8-3),0))+IF(M11&gt;0,0,IF(U11&gt;3,(U11-3),0))+IF(M12&gt;0,0,IF(U12&gt;3,(U12-3),0))+IF(M13&gt;0,0,IF(U13&gt;3,(U13-3),0))+IF(M14&gt;0,0,IF(U14&gt;3,(U14-3),0))+IF(M15&gt;0,0,IF(U15&gt;3,(U15-3),0)))*E31</f>
        <v>0</v>
      </c>
      <c r="K31" s="71"/>
      <c r="L31" s="71"/>
      <c r="M31" s="71"/>
      <c r="N31" s="71"/>
    </row>
    <row r="32" spans="1:30" ht="14" x14ac:dyDescent="0.2">
      <c r="A32" s="48">
        <v>1027</v>
      </c>
      <c r="B32" s="105" t="s">
        <v>67</v>
      </c>
      <c r="C32" s="105"/>
      <c r="D32" s="105"/>
      <c r="E32" s="49">
        <f>E23*200%</f>
        <v>70.392099999999999</v>
      </c>
      <c r="F32" s="50">
        <f>(S9+Q9+S16+Q16)*E32</f>
        <v>49.274469999999951</v>
      </c>
      <c r="G32" s="54"/>
      <c r="H32" s="55"/>
      <c r="K32" s="74"/>
      <c r="L32" s="74"/>
      <c r="M32" s="74"/>
      <c r="N32" s="74"/>
      <c r="O32" s="74"/>
      <c r="P32" s="74"/>
    </row>
    <row r="33" spans="1:16" ht="14" x14ac:dyDescent="0.2">
      <c r="A33" s="48">
        <v>1027</v>
      </c>
      <c r="B33" s="105" t="s">
        <v>68</v>
      </c>
      <c r="C33" s="105"/>
      <c r="D33" s="105"/>
      <c r="E33" s="49">
        <f>E23*200%</f>
        <v>70.392099999999999</v>
      </c>
      <c r="F33" s="50">
        <f>(Q3+Q10+S3+S10)*E33</f>
        <v>0</v>
      </c>
      <c r="G33" s="75"/>
      <c r="H33" s="74"/>
      <c r="I33" s="74"/>
      <c r="J33" s="74"/>
      <c r="K33" s="74"/>
      <c r="L33" s="74"/>
      <c r="M33" s="74"/>
      <c r="N33" s="74"/>
      <c r="O33" s="74"/>
      <c r="P33" s="74"/>
    </row>
    <row r="34" spans="1:16" ht="14" x14ac:dyDescent="0.2">
      <c r="A34" s="48">
        <v>1064</v>
      </c>
      <c r="B34" s="105" t="s">
        <v>43</v>
      </c>
      <c r="C34" s="105"/>
      <c r="D34" s="105"/>
      <c r="E34" s="49">
        <f>E23*50%</f>
        <v>17.598025</v>
      </c>
      <c r="F34" s="50">
        <f>(J16+J9-S9-S16+IF(M16&gt;0,0,IF(I16&gt;0,I16,MIN(E16,8)))+IF(I9&gt;0,I9,MIN(E9,8)))*E34</f>
        <v>191.81847250000001</v>
      </c>
      <c r="G34" s="61"/>
      <c r="H34" s="74"/>
      <c r="I34" s="74"/>
      <c r="J34" s="74"/>
      <c r="K34" s="74"/>
      <c r="L34" s="74"/>
      <c r="M34" s="74"/>
      <c r="N34" s="74"/>
      <c r="O34" s="74"/>
      <c r="P34" s="74"/>
    </row>
    <row r="35" spans="1:16" ht="14" x14ac:dyDescent="0.2">
      <c r="A35" s="48">
        <v>1076</v>
      </c>
      <c r="B35" s="105" t="s">
        <v>44</v>
      </c>
      <c r="C35" s="105"/>
      <c r="D35" s="105"/>
      <c r="E35" s="49">
        <f>E23</f>
        <v>35.19605</v>
      </c>
      <c r="F35" s="50">
        <f>(J3+J10-S3-S10+IF(I3&gt;0,I3,MIN(E3,8))+IF(I10&gt;0,I10,MIN(E10,8)))*E35</f>
        <v>537.32636333333335</v>
      </c>
      <c r="G35" s="54"/>
      <c r="H35" s="74"/>
      <c r="I35" s="74"/>
      <c r="J35" s="74"/>
      <c r="K35" s="74"/>
      <c r="L35" s="74"/>
      <c r="M35" s="74"/>
      <c r="N35" s="74"/>
      <c r="O35" s="74"/>
      <c r="P35" s="74"/>
    </row>
    <row r="36" spans="1:16" ht="14" x14ac:dyDescent="0.2">
      <c r="A36" s="48">
        <v>1100</v>
      </c>
      <c r="B36" s="105" t="s">
        <v>61</v>
      </c>
      <c r="C36" s="105"/>
      <c r="D36" s="105"/>
      <c r="E36" s="49">
        <f>E23*150%</f>
        <v>52.794074999999999</v>
      </c>
      <c r="F36" s="50">
        <f>(IF(M12&gt;0,M12,0)+IF(M13&gt;0,M13,0)+IF(AND(M14&gt;0,(COUNTIF(M12:M13,"&gt;0")&lt;2)),M14,0)+IF(AND(M15&gt;0,(COUNTIF(M12:M14,"&gt;0")&lt;2)),M15,0))*E36</f>
        <v>791.91112499999997</v>
      </c>
      <c r="G36" s="84"/>
      <c r="H36" s="74"/>
      <c r="I36" s="74"/>
      <c r="J36" s="74"/>
      <c r="K36" s="74"/>
      <c r="L36" s="74"/>
      <c r="M36" s="74"/>
      <c r="N36" s="74"/>
      <c r="O36" s="74"/>
      <c r="P36" s="74"/>
    </row>
    <row r="37" spans="1:16" ht="14" x14ac:dyDescent="0.2">
      <c r="A37" s="48"/>
      <c r="B37" s="105" t="s">
        <v>69</v>
      </c>
      <c r="C37" s="105"/>
      <c r="D37" s="105"/>
      <c r="E37" s="49">
        <f>200%*E23</f>
        <v>70.392099999999999</v>
      </c>
      <c r="F37" s="50">
        <f>IF(AND(M16&gt;0,M18&lt;3),M16*E37,0)</f>
        <v>0</v>
      </c>
      <c r="G37" s="59"/>
      <c r="H37" s="74"/>
      <c r="I37" s="74"/>
      <c r="J37" s="74"/>
      <c r="K37" s="74"/>
      <c r="L37" s="74"/>
      <c r="M37" s="74"/>
      <c r="N37" s="74"/>
      <c r="O37" s="74"/>
      <c r="P37" s="74"/>
    </row>
    <row r="38" spans="1:16" ht="14" x14ac:dyDescent="0.2">
      <c r="A38" s="48">
        <v>1105</v>
      </c>
      <c r="B38" s="105" t="s">
        <v>62</v>
      </c>
      <c r="C38" s="105"/>
      <c r="D38" s="105"/>
      <c r="E38" s="49">
        <f>200%*E23</f>
        <v>70.392099999999999</v>
      </c>
      <c r="F38" s="50">
        <f>(IF(AND(M17&gt;0,M18&gt;2),M16,0)+IF(AND(M17&gt;0,M18&gt;2,M16=0),M15,0)+IF(AND(M17&gt;0,M18&gt;3),M15,0))*E38</f>
        <v>530.28715333333332</v>
      </c>
      <c r="G38" s="54"/>
      <c r="H38" s="74"/>
      <c r="I38" s="74"/>
      <c r="J38" s="74"/>
      <c r="K38" s="74"/>
      <c r="L38" s="74"/>
      <c r="M38" s="74"/>
      <c r="N38" s="74"/>
      <c r="O38" s="74"/>
      <c r="P38" s="74"/>
    </row>
    <row r="39" spans="1:16" ht="14" x14ac:dyDescent="0.2">
      <c r="A39" s="48">
        <v>1156</v>
      </c>
      <c r="B39" s="105" t="s">
        <v>63</v>
      </c>
      <c r="C39" s="105"/>
      <c r="D39" s="105"/>
      <c r="E39" s="49">
        <f>E23*25%</f>
        <v>8.7990124999999999</v>
      </c>
      <c r="F39" s="50">
        <f>L17*E39</f>
        <v>0</v>
      </c>
      <c r="G39" s="75"/>
      <c r="H39" s="74"/>
      <c r="I39" s="74"/>
      <c r="J39" s="74"/>
      <c r="K39" s="74"/>
      <c r="L39" s="74"/>
      <c r="M39" s="74"/>
      <c r="N39" s="74"/>
      <c r="O39" s="74"/>
      <c r="P39" s="74"/>
    </row>
    <row r="40" spans="1:16" ht="15" x14ac:dyDescent="0.2">
      <c r="A40" s="48" t="s">
        <v>45</v>
      </c>
      <c r="B40" s="131" t="s">
        <v>46</v>
      </c>
      <c r="C40" s="132"/>
      <c r="D40" s="133"/>
      <c r="E40" s="49">
        <v>13.15</v>
      </c>
      <c r="F40" s="76">
        <f>E40*10</f>
        <v>131.5</v>
      </c>
      <c r="G40" s="75"/>
      <c r="H40" s="74"/>
      <c r="I40" s="74"/>
      <c r="J40" s="74"/>
      <c r="K40" s="74"/>
      <c r="L40" s="74"/>
      <c r="M40" s="74"/>
      <c r="N40" s="74"/>
      <c r="O40" s="74"/>
      <c r="P40" s="74"/>
    </row>
    <row r="41" spans="1:16" ht="14" x14ac:dyDescent="0.2">
      <c r="A41" s="48">
        <v>1462</v>
      </c>
      <c r="B41" s="105" t="s">
        <v>47</v>
      </c>
      <c r="C41" s="105"/>
      <c r="D41" s="105"/>
      <c r="E41" s="49">
        <f>E23</f>
        <v>35.19605</v>
      </c>
      <c r="F41" s="76">
        <f>E41*(4)</f>
        <v>140.7842</v>
      </c>
      <c r="G41" s="75"/>
      <c r="H41" s="74"/>
      <c r="I41" s="74"/>
      <c r="J41" s="74"/>
      <c r="K41" s="74"/>
      <c r="L41" s="74"/>
      <c r="M41" s="74"/>
      <c r="N41" s="74"/>
      <c r="O41" s="74"/>
      <c r="P41" s="74"/>
    </row>
    <row r="42" spans="1:16" ht="14" x14ac:dyDescent="0.2">
      <c r="A42" s="51">
        <v>1454</v>
      </c>
      <c r="B42" s="125" t="s">
        <v>48</v>
      </c>
      <c r="C42" s="125"/>
      <c r="D42" s="125"/>
      <c r="E42" s="53">
        <f>E23</f>
        <v>35.19605</v>
      </c>
      <c r="F42" s="93">
        <f>E42*AC17</f>
        <v>141.37080083333331</v>
      </c>
      <c r="G42" s="54"/>
      <c r="H42" s="74"/>
      <c r="I42" s="74"/>
      <c r="J42" s="74"/>
      <c r="K42" s="74"/>
      <c r="L42" s="74"/>
      <c r="M42" s="74"/>
      <c r="N42" s="74"/>
      <c r="O42" s="74"/>
      <c r="P42" s="74"/>
    </row>
    <row r="43" spans="1:16" ht="14" x14ac:dyDescent="0.2">
      <c r="A43" s="51">
        <v>1453</v>
      </c>
      <c r="B43" s="125" t="s">
        <v>49</v>
      </c>
      <c r="C43" s="125"/>
      <c r="D43" s="125"/>
      <c r="E43" s="53">
        <f>E23</f>
        <v>35.19605</v>
      </c>
      <c r="F43" s="77"/>
      <c r="G43" s="75"/>
      <c r="H43" s="74"/>
      <c r="I43" s="74"/>
      <c r="J43" s="74"/>
      <c r="K43" s="74"/>
      <c r="L43" s="74"/>
      <c r="M43" s="74"/>
      <c r="N43" s="74"/>
      <c r="O43" s="74"/>
      <c r="P43" s="74"/>
    </row>
    <row r="44" spans="1:16" ht="15" thickBot="1" x14ac:dyDescent="0.25">
      <c r="A44" s="51"/>
      <c r="B44" s="125" t="s">
        <v>50</v>
      </c>
      <c r="C44" s="125"/>
      <c r="D44" s="125"/>
      <c r="E44" s="53"/>
      <c r="F44" s="77">
        <v>5.98</v>
      </c>
      <c r="G44" s="75"/>
      <c r="H44" s="74"/>
      <c r="I44" s="74"/>
      <c r="J44" s="74"/>
      <c r="K44" s="74"/>
      <c r="L44" s="74"/>
      <c r="M44" s="74"/>
      <c r="N44" s="74"/>
      <c r="O44" s="74"/>
      <c r="P44" s="74"/>
    </row>
    <row r="45" spans="1:16" ht="16" customHeight="1" thickBot="1" x14ac:dyDescent="0.25">
      <c r="A45" s="126" t="s">
        <v>54</v>
      </c>
      <c r="B45" s="127"/>
      <c r="C45" s="127"/>
      <c r="D45" s="127"/>
      <c r="E45" s="127"/>
      <c r="F45" s="128"/>
      <c r="G45" s="88" t="s">
        <v>55</v>
      </c>
      <c r="H45" s="74"/>
      <c r="I45" s="74"/>
      <c r="J45" s="74"/>
      <c r="K45" s="74"/>
      <c r="L45" s="74"/>
      <c r="M45" s="74"/>
      <c r="N45" s="74"/>
      <c r="O45" s="74"/>
      <c r="P45" s="74"/>
    </row>
    <row r="46" spans="1:16" ht="14" x14ac:dyDescent="0.2">
      <c r="A46" s="48">
        <v>1470</v>
      </c>
      <c r="B46" s="105" t="s">
        <v>56</v>
      </c>
      <c r="C46" s="105"/>
      <c r="D46" s="105"/>
      <c r="E46" s="49">
        <v>4.8899999999999997</v>
      </c>
      <c r="F46" s="50">
        <f>E46*G46</f>
        <v>19.559999999999999</v>
      </c>
      <c r="G46" s="56">
        <f>COUNTIF(AA3:AA16,"&gt;0")</f>
        <v>4</v>
      </c>
      <c r="H46" s="74"/>
      <c r="I46" s="74"/>
      <c r="J46" s="74"/>
      <c r="K46" s="74"/>
      <c r="L46" s="74"/>
      <c r="M46" s="74"/>
      <c r="N46" s="74"/>
      <c r="O46" s="74"/>
      <c r="P46" s="74"/>
    </row>
    <row r="47" spans="1:16" ht="14" x14ac:dyDescent="0.2">
      <c r="A47" s="48">
        <v>1483</v>
      </c>
      <c r="B47" s="105" t="s">
        <v>57</v>
      </c>
      <c r="C47" s="105"/>
      <c r="D47" s="105"/>
      <c r="E47" s="49">
        <v>4.1500000000000004</v>
      </c>
      <c r="F47" s="50">
        <f>X17*E47</f>
        <v>0</v>
      </c>
      <c r="G47" s="57">
        <f>COUNTIF(X3:X16,"&gt;0")</f>
        <v>0</v>
      </c>
      <c r="H47" s="74"/>
      <c r="I47" s="74"/>
      <c r="J47" s="74"/>
      <c r="K47" s="74"/>
      <c r="L47" s="74"/>
      <c r="M47" s="74"/>
      <c r="N47" s="74"/>
      <c r="O47" s="74"/>
      <c r="P47" s="74"/>
    </row>
    <row r="48" spans="1:16" ht="14" x14ac:dyDescent="0.2">
      <c r="A48" s="48">
        <v>1485</v>
      </c>
      <c r="B48" s="105" t="s">
        <v>58</v>
      </c>
      <c r="C48" s="105"/>
      <c r="D48" s="105"/>
      <c r="E48" s="49">
        <v>4.1500000000000004</v>
      </c>
      <c r="F48" s="50">
        <f>Y17*E48</f>
        <v>141.10000000000002</v>
      </c>
      <c r="G48" s="57">
        <f>COUNTIF(Y3:Y16,"&gt;0")</f>
        <v>6</v>
      </c>
      <c r="H48" s="74"/>
      <c r="I48" s="74"/>
      <c r="J48" s="74"/>
      <c r="K48" s="74"/>
      <c r="L48" s="74"/>
      <c r="M48" s="74"/>
      <c r="N48" s="74"/>
      <c r="O48" s="74"/>
      <c r="P48" s="74"/>
    </row>
    <row r="49" spans="1:16" ht="14" x14ac:dyDescent="0.2">
      <c r="A49" s="45">
        <v>1487</v>
      </c>
      <c r="B49" s="124" t="s">
        <v>59</v>
      </c>
      <c r="C49" s="124"/>
      <c r="D49" s="124"/>
      <c r="E49" s="46">
        <v>4.8899999999999997</v>
      </c>
      <c r="F49" s="47">
        <f>Z17*E49</f>
        <v>53.79</v>
      </c>
      <c r="G49" s="56">
        <f>COUNTIF(Z3:Z16,"&gt;0")</f>
        <v>2</v>
      </c>
      <c r="H49" s="74"/>
      <c r="I49" s="74"/>
      <c r="J49" s="74"/>
      <c r="K49" s="74"/>
      <c r="L49" s="74"/>
      <c r="M49" s="74"/>
      <c r="N49" s="74"/>
      <c r="O49" s="74"/>
      <c r="P49" s="74"/>
    </row>
    <row r="50" spans="1:16" ht="15" thickBot="1" x14ac:dyDescent="0.25">
      <c r="A50" s="129" t="s">
        <v>60</v>
      </c>
      <c r="B50" s="130"/>
      <c r="C50" s="130"/>
      <c r="D50" s="130"/>
      <c r="E50" s="130"/>
      <c r="F50" s="58">
        <f>SUM(F23:F28)+SUM(F30:F44)+SUM(F46:F49)</f>
        <v>5580.8898283333328</v>
      </c>
      <c r="G50" s="78"/>
      <c r="H50" s="74"/>
      <c r="I50" s="74"/>
      <c r="J50" s="74"/>
      <c r="K50" s="74"/>
      <c r="L50" s="74"/>
      <c r="M50" s="74"/>
      <c r="N50" s="74"/>
      <c r="O50" s="74"/>
      <c r="P50" s="74"/>
    </row>
    <row r="51" spans="1:16" x14ac:dyDescent="0.15">
      <c r="F51" s="80"/>
      <c r="H51" s="74"/>
      <c r="I51" s="74"/>
      <c r="J51" s="74"/>
      <c r="K51" s="74"/>
      <c r="L51" s="74"/>
      <c r="M51" s="74"/>
      <c r="N51" s="74"/>
      <c r="O51" s="74"/>
      <c r="P51" s="74"/>
    </row>
    <row r="52" spans="1:16" x14ac:dyDescent="0.15">
      <c r="F52" s="80"/>
      <c r="H52" s="74"/>
      <c r="I52" s="74"/>
      <c r="J52" s="74"/>
      <c r="K52" s="74"/>
      <c r="L52" s="74"/>
      <c r="M52" s="74"/>
      <c r="N52" s="74"/>
      <c r="O52" s="74"/>
      <c r="P52" s="74"/>
    </row>
    <row r="55" spans="1:16" x14ac:dyDescent="0.2">
      <c r="F55" s="61"/>
    </row>
  </sheetData>
  <sheetProtection algorithmName="SHA-512" hashValue="8hkHPkhDIjY4gYeOxRqaefkHEMpIdemv8c0cJA2E9W2sUWjxX4U0v79CmIF872IaAkDjaPLITNj0oOTKlSVK0A==" saltValue="CXNqWNJzCXubr6Bp1R3/UA==" spinCount="100000" sheet="1" objects="1" scenarios="1" formatCells="0" formatColumns="0" formatRows="0" selectLockedCells="1"/>
  <mergeCells count="36">
    <mergeCell ref="A50:E50"/>
    <mergeCell ref="B35:D35"/>
    <mergeCell ref="B40:D40"/>
    <mergeCell ref="B41:D41"/>
    <mergeCell ref="B42:D42"/>
    <mergeCell ref="B43:D43"/>
    <mergeCell ref="B44:D44"/>
    <mergeCell ref="A45:F45"/>
    <mergeCell ref="B46:D46"/>
    <mergeCell ref="B47:D47"/>
    <mergeCell ref="B48:D48"/>
    <mergeCell ref="B49:D49"/>
    <mergeCell ref="B36:D36"/>
    <mergeCell ref="B37:D37"/>
    <mergeCell ref="B38:D38"/>
    <mergeCell ref="B39:D39"/>
    <mergeCell ref="B34:D34"/>
    <mergeCell ref="B27:D27"/>
    <mergeCell ref="B28:D28"/>
    <mergeCell ref="A29:F29"/>
    <mergeCell ref="B30:D30"/>
    <mergeCell ref="B31:D31"/>
    <mergeCell ref="B32:D32"/>
    <mergeCell ref="B33:D33"/>
    <mergeCell ref="B26:D26"/>
    <mergeCell ref="A1:B1"/>
    <mergeCell ref="C1:E1"/>
    <mergeCell ref="F1:H1"/>
    <mergeCell ref="A17:D17"/>
    <mergeCell ref="A19:K19"/>
    <mergeCell ref="A20:K20"/>
    <mergeCell ref="A21:K21"/>
    <mergeCell ref="B22:D22"/>
    <mergeCell ref="B23:D23"/>
    <mergeCell ref="B24:D24"/>
    <mergeCell ref="B25:D25"/>
  </mergeCells>
  <printOptions horizontalCentered="1" verticalCentered="1"/>
  <pageMargins left="0" right="0" top="0" bottom="0" header="0.51181102362204722" footer="0"/>
  <pageSetup scale="86" orientation="landscape" horizontalDpi="4294967294" verticalDpi="4294967294"/>
  <headerFooter alignWithMargins="0"/>
  <ignoredErrors>
    <ignoredError sqref="H8" emptyCellReferenc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Sheet1!$A$2:$A$27</xm:f>
          </x14:formula1>
          <xm:sqref>K3:K16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Saharan</dc:creator>
  <cp:lastModifiedBy>Microsoft Office User</cp:lastModifiedBy>
  <dcterms:created xsi:type="dcterms:W3CDTF">2020-09-02T04:48:50Z</dcterms:created>
  <dcterms:modified xsi:type="dcterms:W3CDTF">2021-11-29T23:58:49Z</dcterms:modified>
</cp:coreProperties>
</file>